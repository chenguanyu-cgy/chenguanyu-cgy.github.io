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16215b4f8b4d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总览" sheetId="1" r:id="R758aa10c1ab645df"/>
    <x:sheet xmlns:r="http://schemas.openxmlformats.org/officeDocument/2006/relationships" name="账号与权限" sheetId="2" r:id="Rf6d9ae2d7b9941df"/>
    <x:sheet xmlns:r="http://schemas.openxmlformats.org/officeDocument/2006/relationships" name="主数据" sheetId="3" r:id="Rbdae1cae03934aa3"/>
    <x:sheet xmlns:r="http://schemas.openxmlformats.org/officeDocument/2006/relationships" name="合同流程" sheetId="4" r:id="Rcdbeaf2031544929"/>
    <x:sheet xmlns:r="http://schemas.openxmlformats.org/officeDocument/2006/relationships" name="全系统用例" sheetId="5" r:id="R71177ab164e24caf"/>
    <x:sheet xmlns:r="http://schemas.openxmlformats.org/officeDocument/2006/relationships" name="文件清单" sheetId="6" r:id="R92cd0a727f4546f6"/>
    <x:sheet xmlns:r="http://schemas.openxmlformats.org/officeDocument/2006/relationships" name="权限矩阵" sheetId="7" r:id="R68ae023e7e75466c"/>
    <x:sheet xmlns:r="http://schemas.openxmlformats.org/officeDocument/2006/relationships" name="缺陷记录" sheetId="8" r:id="Rac03aaaf9e404c5b"/>
    <x:sheet xmlns:r="http://schemas.openxmlformats.org/officeDocument/2006/relationships" name="测试总结" sheetId="9" r:id="R02e6202754b740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0"/>
      <x:color rgb="FF17243A"/>
      <x:name val="Carlito"/>
    </x:font>
    <x:font>
      <x:sz val="9"/>
      <x:color rgb="FF17243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E5AAC"/>
      </x:patternFill>
    </x:fill>
    <x:fill>
      <x:patternFill patternType="solid">
        <x:fgColor rgb="FFEAF0F8"/>
      </x:patternFill>
    </x:fill>
  </x:fills>
  <x:borders count="7">
    <x:border/>
    <x:border>
      <x:left style="thin">
        <x:color rgb="FFD8E0EA"/>
      </x:left>
      <x:top style="thin">
        <x:color rgb="FFD8E0EA"/>
      </x:top>
      <x:bottom style="thin">
        <x:color rgb="FFD8E0EA"/>
      </x:bottom>
    </x:border>
    <x:border>
      <x:top style="thin">
        <x:color rgb="FFD8E0EA"/>
      </x:top>
      <x:bottom style="thin">
        <x:color rgb="FFD8E0EA"/>
      </x:bottom>
    </x:border>
    <x:border>
      <x:right style="thin">
        <x:color rgb="FFD8E0EA"/>
      </x:right>
      <x:top style="thin">
        <x:color rgb="FFD8E0EA"/>
      </x:top>
      <x:bottom style="thin">
        <x:color rgb="FFD8E0EA"/>
      </x:bottom>
    </x:border>
    <x:border>
      <x:bottom style="thin">
        <x:color rgb="FFE7ECF2"/>
      </x:bottom>
    </x:border>
    <x:border>
      <x:top style="thin">
        <x:color rgb="FFE7ECF2"/>
      </x:top>
      <x:bottom style="thin">
        <x:color rgb="FFE7ECF2"/>
      </x:bottom>
    </x:border>
    <x:border>
      <x:top style="thin">
        <x:color rgb="FFE7ECF2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200" fontId="3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color rgb="FF176B3A"/>
      </x:font>
      <x:fill>
        <x:patternFill patternType="solid">
          <x:bgColor rgb="FFE8F5EE"/>
        </x:patternFill>
      </x:fill>
    </x:dxf>
    <x:dxf>
      <x:font>
        <x:color rgb="FFA12F2F"/>
      </x:font>
      <x:fill>
        <x:patternFill patternType="solid">
          <x:bgColor rgb="FFFCE8E8"/>
        </x:patternFill>
      </x:fill>
    </x:dxf>
    <x:dxf>
      <x:font>
        <x:color rgb="FF8A5A00"/>
      </x:font>
      <x:fill>
        <x:patternFill patternType="solid">
          <x:bgColor rgb="FFFFF3D6"/>
        </x:patternFill>
      </x:fill>
    </x:dxf>
    <x:dxf>
      <x:font>
        <x:color rgb="FF176B3A"/>
      </x:font>
      <x:fill>
        <x:patternFill patternType="solid">
          <x:bgColor rgb="FFE8F5EE"/>
        </x:patternFill>
      </x:fill>
    </x:dxf>
    <x:dxf>
      <x:font>
        <x:color rgb="FFA12F2F"/>
      </x:font>
      <x:fill>
        <x:patternFill patternType="solid">
          <x:bgColor rgb="FFFCE8E8"/>
        </x:patternFill>
      </x:fill>
    </x:dxf>
    <x:dxf>
      <x:font>
        <x:color rgb="FF8A5A00"/>
      </x:font>
      <x:fill>
        <x:patternFill patternType="solid">
          <x:bgColor rgb="FFFFF3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0ccc3f0330475e" /><Relationship Type="http://schemas.openxmlformats.org/officeDocument/2006/relationships/theme" Target="/xl/theme/theme1.xml" Id="Rd5b424eb95ca420d" /><Relationship Type="http://schemas.openxmlformats.org/officeDocument/2006/relationships/sharedStrings" Target="/xl/sharedStrings.xml" Id="R4fa36ed7dcfe41c0" /><Relationship Type="http://schemas.openxmlformats.org/officeDocument/2006/relationships/worksheet" Target="/xl/worksheets/sheet1.xml" Id="R758aa10c1ab645df" /><Relationship Type="http://schemas.openxmlformats.org/officeDocument/2006/relationships/worksheet" Target="/xl/worksheets/sheet2.xml" Id="Rf6d9ae2d7b9941df" /><Relationship Type="http://schemas.openxmlformats.org/officeDocument/2006/relationships/worksheet" Target="/xl/worksheets/sheet3.xml" Id="Rbdae1cae03934aa3" /><Relationship Type="http://schemas.openxmlformats.org/officeDocument/2006/relationships/worksheet" Target="/xl/worksheets/sheet4.xml" Id="Rcdbeaf2031544929" /><Relationship Type="http://schemas.openxmlformats.org/officeDocument/2006/relationships/worksheet" Target="/xl/worksheets/sheet5.xml" Id="R71177ab164e24caf" /><Relationship Type="http://schemas.openxmlformats.org/officeDocument/2006/relationships/worksheet" Target="/xl/worksheets/sheet6.xml" Id="R92cd0a727f4546f6" /><Relationship Type="http://schemas.openxmlformats.org/officeDocument/2006/relationships/worksheet" Target="/xl/worksheets/sheet7.xml" Id="R68ae023e7e75466c" /><Relationship Type="http://schemas.openxmlformats.org/officeDocument/2006/relationships/worksheet" Target="/xl/worksheets/sheet8.xml" Id="Rac03aaaf9e404c5b" /><Relationship Type="http://schemas.openxmlformats.org/officeDocument/2006/relationships/worksheet" Target="/xl/worksheets/sheet9.xml" Id="R02e6202754b740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58" hidden="0" customWidth="1"/>
  </x:cols>
  <x:sheetData>
    <x:row r="1" ht="32" customHeight="1">
      <x:c r="A1" s="3" t="str">
        <x:v>BEPLAN · 测试总览</x:v>
      </x:c>
      <x:c r="B1" s="3"/>
      <x:c r="C1" s="3"/>
    </x:row>
    <x:row r="3">
      <x:c r="A3" s="12" t="str">
        <x:v>项目</x:v>
      </x:c>
      <x:c r="B3" s="13" t="str">
        <x:v>值</x:v>
      </x:c>
      <x:c r="C3" s="14" t="str">
        <x:v>说明</x:v>
      </x:c>
    </x:row>
    <x:row r="4">
      <x:c r="A4" s="22" t="str">
        <x:v>测试环境</x:v>
      </x:c>
      <x:c r="B4" s="22" t="str">
        <x:v>GitHub Pages + Supabase 托管云</x:v>
      </x:c>
      <x:c r="C4" s="22" t="str">
        <x:v>同事可从其他电脑访问；业务数据仍需邮箱登录和组织授权</x:v>
      </x:c>
    </x:row>
    <x:row r="5">
      <x:c r="A5" s="23" t="str">
        <x:v>测试网址</x:v>
      </x:c>
      <x:c r="B5" s="23" t="str">
        <x:v>https://chenguanyu-cgy.github.io</x:v>
      </x:c>
      <x:c r="C5" s="23" t="str">
        <x:v>公开网页入口，不公开业务数据</x:v>
      </x:c>
    </x:row>
    <x:row r="6">
      <x:c r="A6" s="23" t="str">
        <x:v>测试版本</x:v>
      </x:c>
      <x:c r="B6" s="23" t="str">
        <x:v>UAT V2.0</x:v>
      </x:c>
      <x:c r="C6" s="23" t="str">
        <x:v>2026-08-11</x:v>
      </x:c>
    </x:row>
    <x:row r="7">
      <x:c r="A7" s="23" t="str">
        <x:v>执行顺序</x:v>
      </x:c>
      <x:c r="B7" s="23" t="str">
        <x:v>合同履约 → 任务/SLA/审批 → 材料/档案 → 财务/协作/知识 → 权限/客户门户 → 冒烟</x:v>
      </x:c>
      <x:c r="C7" s="23" t="str">
        <x:v>不要跳过合同主流程权限测试</x:v>
      </x:c>
    </x:row>
    <x:row r="8">
      <x:c r="A8" s="23" t="str">
        <x:v>测试客户</x:v>
      </x:c>
      <x:c r="B8" s="23" t="str">
        <x:v>深圳星海智造有限公司</x:v>
      </x:c>
      <x:c r="C8" s="23" t="str">
        <x:v>虚构数据</x:v>
      </x:c>
    </x:row>
    <x:row r="9">
      <x:c r="A9" s="23" t="str">
        <x:v>测试案件</x:v>
      </x:c>
      <x:c r="B9" s="23" t="str">
        <x:v>UAT-美国商标与专利申请全流程-20260811-A</x:v>
      </x:c>
      <x:c r="C9" s="23" t="str">
        <x:v>新建后将系统生成案件编号填回“主数据”</x:v>
      </x:c>
    </x:row>
    <x:row r="10">
      <x:c r="A10" s="23" t="str">
        <x:v>合同金额</x:v>
      </x:c>
      <x:c r="B10" s="23" t="n">
        <x:v>38000</x:v>
      </x:c>
      <x:c r="C10" s="23" t="str">
        <x:v>CNY</x:v>
      </x:c>
    </x:row>
    <x:row r="11">
      <x:c r="A11" s="23" t="str">
        <x:v>付款流水</x:v>
      </x:c>
      <x:c r="B11" s="23" t="str">
        <x:v>CMB202608110001</x:v>
      </x:c>
      <x:c r="C11" s="23" t="str">
        <x:v>到账登记时使用</x:v>
      </x:c>
    </x:row>
    <x:row r="12">
      <x:c r="A12" s="23" t="str">
        <x:v>用例通过率</x:v>
      </x:c>
      <x:c r="B12" s="23" t="str">
        <x:v>在“测试总结”自动计算</x:v>
      </x:c>
      <x:c r="C12" s="23" t="str">
        <x:v>通过数 / 已执行数</x:v>
      </x:c>
    </x:row>
    <x:row r="13">
      <x:c r="A13" s="24" t="str">
        <x:v>缺陷口径</x:v>
      </x:c>
      <x:c r="B13" s="24" t="str">
        <x:v>P0阻断/泄露；P1主流程中断；P2可绕过功能错误；P3体验问题</x:v>
      </x:c>
      <x:c r="C13" s="24" t="str">
        <x:v>P0/P1 必须清零才能上线</x:v>
      </x:c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2" hidden="0" customWidth="1"/>
    <x:col min="3" max="3" width="65" hidden="0" customWidth="1"/>
    <x:col min="4" max="4" width="58" hidden="0" customWidth="1"/>
  </x:cols>
  <x:sheetData>
    <x:row r="1" ht="32" customHeight="1">
      <x:c r="A1" s="3" t="str">
        <x:v>BEPLAN · 账号与权限</x:v>
      </x:c>
      <x:c r="B1" s="3"/>
      <x:c r="C1" s="3"/>
      <x:c r="D1" s="3"/>
    </x:row>
    <x:row r="3">
      <x:c r="A3" s="12" t="str">
        <x:v>岗位代码</x:v>
      </x:c>
      <x:c r="B3" s="13" t="str">
        <x:v>岗位名称</x:v>
      </x:c>
      <x:c r="C3" s="13" t="str">
        <x:v>允许操作</x:v>
      </x:c>
      <x:c r="D3" s="14" t="str">
        <x:v>禁止操作</x:v>
      </x:c>
    </x:row>
    <x:row r="4">
      <x:c r="A4" s="22" t="str">
        <x:v>owner_partner</x:v>
      </x:c>
      <x:c r="B4" s="22" t="str">
        <x:v>老板 / 合伙人</x:v>
      </x:c>
      <x:c r="C4" s="22" t="str">
        <x:v>全部数据、监控、审批、权限和审计</x:v>
      </x:c>
      <x:c r="D4" s="22" t="str">
        <x:v>不替代六条泳道的业务岗位提交</x:v>
      </x:c>
    </x:row>
    <x:row r="5">
      <x:c r="A5" s="23" t="str">
        <x:v>sales_cs</x:v>
      </x:c>
      <x:c r="B5" s="23" t="str">
        <x:v>销售员</x:v>
      </x:c>
      <x:c r="C5" s="23" t="str">
        <x:v>客户信息、生成合同、寄回、合同/水单上传、通知客户</x:v>
      </x:c>
      <x:c r="D5" s="23" t="str">
        <x:v>不能审核合同、复核到账、分配或办理</x:v>
      </x:c>
    </x:row>
    <x:row r="6">
      <x:c r="A6" s="23" t="str">
        <x:v>contract_reviewer</x:v>
      </x:c>
      <x:c r="B6" s="23" t="str">
        <x:v>合同审核</x:v>
      </x:c>
      <x:c r="C6" s="23" t="str">
        <x:v>审核合同、记录打印盖章实操</x:v>
      </x:c>
      <x:c r="D6" s="23" t="str">
        <x:v>不能处理销售、财务或案件节点</x:v>
      </x:c>
    </x:row>
    <x:row r="7">
      <x:c r="A7" s="23" t="str">
        <x:v>finance_insurance</x:v>
      </x:c>
      <x:c r="B7" s="23" t="str">
        <x:v>财务</x:v>
      </x:c>
      <x:c r="C7" s="23" t="str">
        <x:v>复核到账、财务草稿、出具、登记收款</x:v>
      </x:c>
      <x:c r="D7" s="23" t="str">
        <x:v>不能处理合同审核和案件办理</x:v>
      </x:c>
    </x:row>
    <x:row r="8">
      <x:c r="A8" s="23" t="str">
        <x:v>case_allocator</x:v>
      </x:c>
      <x:c r="B8" s="23" t="str">
        <x:v>案件分配员</x:v>
      </x:c>
      <x:c r="C8" s="23" t="str">
        <x:v>选择具体案件专员并提交到下一环节</x:v>
      </x:c>
      <x:c r="D8" s="23" t="str">
        <x:v>不能替案件负责人或流程专员提交</x:v>
      </x:c>
    </x:row>
    <x:row r="9">
      <x:c r="A9" s="23" t="str">
        <x:v>case_owner</x:v>
      </x:c>
      <x:c r="B9" s="23" t="str">
        <x:v>案件负责人</x:v>
      </x:c>
      <x:c r="C9" s="23" t="str">
        <x:v>提交办理结果、任务、SLA、材料协作</x:v>
      </x:c>
      <x:c r="D9" s="23" t="str">
        <x:v>不能操作合同和财务节点</x:v>
      </x:c>
    </x:row>
    <x:row r="10">
      <x:c r="A10" s="23" t="str">
        <x:v>case_specialist</x:v>
      </x:c>
      <x:c r="B10" s="23" t="str">
        <x:v>案件专员</x:v>
      </x:c>
      <x:c r="C10" s="23" t="str">
        <x:v>查看获分配案件和授权档案</x:v>
      </x:c>
      <x:c r="D10" s="23" t="str">
        <x:v>不占合同泳道，无需确认收到</x:v>
      </x:c>
    </x:row>
    <x:row r="11">
      <x:c r="A11" s="23" t="str">
        <x:v>workflow_specialist</x:v>
      </x:c>
      <x:c r="B11" s="23" t="str">
        <x:v>流程专员</x:v>
      </x:c>
      <x:c r="C11" s="23" t="str">
        <x:v>记录申请实操、分批录入官方结果</x:v>
      </x:c>
      <x:c r="D11" s="23" t="str">
        <x:v>不能操作前置合同、财务和分配节点</x:v>
      </x:c>
    </x:row>
    <x:row r="12">
      <x:c r="A12" s="24" t="str">
        <x:v>client_portal</x:v>
      </x:c>
      <x:c r="B12" s="24" t="str">
        <x:v>客户门户</x:v>
      </x:c>
      <x:c r="C12" s="24" t="str">
        <x:v>本客户案件、材料、留言、账单、反馈</x:v>
      </x:c>
      <x:c r="D12" s="24" t="str">
        <x:v>不能看内部成本、其他客户、内部权限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2" hidden="0" customWidth="1"/>
    <x:col min="3" max="3" width="72" hidden="0" customWidth="1"/>
    <x:col min="4" max="4" width="24" hidden="0" customWidth="1"/>
  </x:cols>
  <x:sheetData>
    <x:row r="1" ht="32" customHeight="1">
      <x:c r="A1" s="3" t="str">
        <x:v>BEPLAN · 主数据</x:v>
      </x:c>
      <x:c r="B1" s="3"/>
      <x:c r="C1" s="3"/>
      <x:c r="D1" s="3"/>
    </x:row>
    <x:row r="3">
      <x:c r="A3" s="12" t="str">
        <x:v>数据键</x:v>
      </x:c>
      <x:c r="B3" s="13" t="str">
        <x:v>字段</x:v>
      </x:c>
      <x:c r="C3" s="13" t="str">
        <x:v>测试值</x:v>
      </x:c>
      <x:c r="D3" s="14" t="str">
        <x:v>使用位置</x:v>
      </x:c>
    </x:row>
    <x:row r="4">
      <x:c r="A4" s="22" t="str">
        <x:v>CLIENT_NAME</x:v>
      </x:c>
      <x:c r="B4" s="22" t="str">
        <x:v>客户名称</x:v>
      </x:c>
      <x:c r="C4" s="22" t="str">
        <x:v>深圳星海智造有限公司</x:v>
      </x:c>
      <x:c r="D4" s="22" t="str">
        <x:v>客户/合同/财务</x:v>
      </x:c>
    </x:row>
    <x:row r="5">
      <x:c r="A5" s="23" t="str">
        <x:v>CLIENT_COUNTRY</x:v>
      </x:c>
      <x:c r="B5" s="23" t="str">
        <x:v>国家代码</x:v>
      </x:c>
      <x:c r="C5" s="23" t="str">
        <x:v>CN</x:v>
      </x:c>
      <x:c r="D5" s="23" t="str">
        <x:v>客户</x:v>
      </x:c>
    </x:row>
    <x:row r="6">
      <x:c r="A6" s="23" t="str">
        <x:v>CLIENT_TIER</x:v>
      </x:c>
      <x:c r="B6" s="23" t="str">
        <x:v>服务等级</x:v>
      </x:c>
      <x:c r="C6" s="23" t="str">
        <x:v>VIP</x:v>
      </x:c>
      <x:c r="D6" s="23" t="str">
        <x:v>客户</x:v>
      </x:c>
    </x:row>
    <x:row r="7">
      <x:c r="A7" s="23" t="str">
        <x:v>CLIENT_INDUSTRY</x:v>
      </x:c>
      <x:c r="B7" s="23" t="str">
        <x:v>行业</x:v>
      </x:c>
      <x:c r="C7" s="23" t="str">
        <x:v>消费电子</x:v>
      </x:c>
      <x:c r="D7" s="23" t="str">
        <x:v>客户</x:v>
      </x:c>
    </x:row>
    <x:row r="8">
      <x:c r="A8" s="23" t="str">
        <x:v>CLIENT_WEBSITE</x:v>
      </x:c>
      <x:c r="B8" s="23" t="str">
        <x:v>官网</x:v>
      </x:c>
      <x:c r="C8" s="23" t="str">
        <x:v>https://uat.example.com</x:v>
      </x:c>
      <x:c r="D8" s="23" t="str">
        <x:v>客户</x:v>
      </x:c>
    </x:row>
    <x:row r="9">
      <x:c r="A9" s="23" t="str">
        <x:v>CONTACT_NAME</x:v>
      </x:c>
      <x:c r="B9" s="23" t="str">
        <x:v>联系人</x:v>
      </x:c>
      <x:c r="C9" s="23" t="str">
        <x:v>张海宁</x:v>
      </x:c>
      <x:c r="D9" s="23" t="str">
        <x:v>合同</x:v>
      </x:c>
    </x:row>
    <x:row r="10">
      <x:c r="A10" s="23" t="str">
        <x:v>CONTACT_PHONE</x:v>
      </x:c>
      <x:c r="B10" s="23" t="str">
        <x:v>电话</x:v>
      </x:c>
      <x:c r="C10" s="23" t="str">
        <x:v>13800138000</x:v>
      </x:c>
      <x:c r="D10" s="23" t="str">
        <x:v>合同</x:v>
      </x:c>
    </x:row>
    <x:row r="11">
      <x:c r="A11" s="23" t="str">
        <x:v>CONTACT_EMAIL</x:v>
      </x:c>
      <x:c r="B11" s="23" t="str">
        <x:v>邮箱</x:v>
      </x:c>
      <x:c r="C11" s="23" t="str">
        <x:v>uat.contact@example.com</x:v>
      </x:c>
      <x:c r="D11" s="23" t="str">
        <x:v>客户/通知</x:v>
      </x:c>
    </x:row>
    <x:row r="12">
      <x:c r="A12" s="23" t="str">
        <x:v>CLIENT_ADDRESS</x:v>
      </x:c>
      <x:c r="B12" s="23" t="str">
        <x:v>客户地址</x:v>
      </x:c>
      <x:c r="C12" s="23" t="str">
        <x:v>深圳市南山区科技园测试路 88 号</x:v>
      </x:c>
      <x:c r="D12" s="23" t="str">
        <x:v>合同</x:v>
      </x:c>
    </x:row>
    <x:row r="13">
      <x:c r="A13" s="23" t="str">
        <x:v>CASE_TITLE</x:v>
      </x:c>
      <x:c r="B13" s="23" t="str">
        <x:v>案件标题</x:v>
      </x:c>
      <x:c r="C13" s="23" t="str">
        <x:v>UAT-美国商标与专利申请全流程-20260811-A</x:v>
      </x:c>
      <x:c r="D13" s="23" t="str">
        <x:v>案件/合同</x:v>
      </x:c>
    </x:row>
    <x:row r="14">
      <x:c r="A14" s="23" t="str">
        <x:v>CASE_TYPE</x:v>
      </x:c>
      <x:c r="B14" s="23" t="str">
        <x:v>案件类型</x:v>
      </x:c>
      <x:c r="C14" s="23" t="str">
        <x:v>商标、专利申请</x:v>
      </x:c>
      <x:c r="D14" s="23" t="str">
        <x:v>案件</x:v>
      </x:c>
    </x:row>
    <x:row r="15">
      <x:c r="A15" s="23" t="str">
        <x:v>JURISDICTION</x:v>
      </x:c>
      <x:c r="B15" s="23" t="str">
        <x:v>国家/地区</x:v>
      </x:c>
      <x:c r="C15" s="23" t="str">
        <x:v>US</x:v>
      </x:c>
      <x:c r="D15" s="23" t="str">
        <x:v>案件</x:v>
      </x:c>
    </x:row>
    <x:row r="16">
      <x:c r="A16" s="23" t="str">
        <x:v>PLATFORM</x:v>
      </x:c>
      <x:c r="B16" s="23" t="str">
        <x:v>平台</x:v>
      </x:c>
      <x:c r="C16" s="23" t="str">
        <x:v>USPTO</x:v>
      </x:c>
      <x:c r="D16" s="23" t="str">
        <x:v>案件</x:v>
      </x:c>
    </x:row>
    <x:row r="17">
      <x:c r="A17" s="23" t="str">
        <x:v>RISK</x:v>
      </x:c>
      <x:c r="B17" s="23" t="str">
        <x:v>风险等级</x:v>
      </x:c>
      <x:c r="C17" s="23" t="str">
        <x:v>3</x:v>
      </x:c>
      <x:c r="D17" s="23" t="str">
        <x:v>案件</x:v>
      </x:c>
    </x:row>
    <x:row r="18">
      <x:c r="A18" s="23" t="str">
        <x:v>SERVICE_1</x:v>
      </x:c>
      <x:c r="B18" s="23" t="str">
        <x:v>服务项目1</x:v>
      </x:c>
      <x:c r="C18" s="23" t="str">
        <x:v>美国商标申请（标准文字商标）</x:v>
      </x:c>
      <x:c r="D18" s="23" t="str">
        <x:v>合同</x:v>
      </x:c>
    </x:row>
    <x:row r="19">
      <x:c r="A19" s="23" t="str">
        <x:v>SERVICE_1_AMOUNT</x:v>
      </x:c>
      <x:c r="B19" s="23" t="str">
        <x:v>项目1金额</x:v>
      </x:c>
      <x:c r="C19" s="23" t="str">
        <x:v>18000</x:v>
      </x:c>
      <x:c r="D19" s="23" t="str">
        <x:v>合同</x:v>
      </x:c>
    </x:row>
    <x:row r="20">
      <x:c r="A20" s="23" t="str">
        <x:v>SERVICE_2</x:v>
      </x:c>
      <x:c r="B20" s="23" t="str">
        <x:v>服务项目2</x:v>
      </x:c>
      <x:c r="C20" s="23" t="str">
        <x:v>美国发明专利申请（含基础检索）</x:v>
      </x:c>
      <x:c r="D20" s="23" t="str">
        <x:v>合同</x:v>
      </x:c>
    </x:row>
    <x:row r="21">
      <x:c r="A21" s="23" t="str">
        <x:v>SERVICE_2_AMOUNT</x:v>
      </x:c>
      <x:c r="B21" s="23" t="str">
        <x:v>项目2金额</x:v>
      </x:c>
      <x:c r="C21" s="23" t="str">
        <x:v>20000</x:v>
      </x:c>
      <x:c r="D21" s="23" t="str">
        <x:v>合同</x:v>
      </x:c>
    </x:row>
    <x:row r="22">
      <x:c r="A22" s="23" t="str">
        <x:v>TOTAL</x:v>
      </x:c>
      <x:c r="B22" s="23" t="str">
        <x:v>实收金额</x:v>
      </x:c>
      <x:c r="C22" s="23" t="str">
        <x:v>38000</x:v>
      </x:c>
      <x:c r="D22" s="23" t="str">
        <x:v>合同/财务</x:v>
      </x:c>
    </x:row>
    <x:row r="23">
      <x:c r="A23" s="23" t="str">
        <x:v>SPECIAL</x:v>
      </x:c>
      <x:c r="B23" s="23" t="str">
        <x:v>特别约定</x:v>
      </x:c>
      <x:c r="C23" s="23" t="str">
        <x:v>申请材料由客户确认后递交；官方费用以实际发生为准。本数据仅用于 UAT。</x:v>
      </x:c>
      <x:c r="D23" s="23" t="str">
        <x:v>合同</x:v>
      </x:c>
    </x:row>
    <x:row r="24">
      <x:c r="A24" s="23" t="str">
        <x:v>OUR_COMPANY</x:v>
      </x:c>
      <x:c r="B24" s="23" t="str">
        <x:v>我方签约主体</x:v>
      </x:c>
      <x:c r="C24" s="23" t="str">
        <x:v>深圳镖计划科技信息有限公司</x:v>
      </x:c>
      <x:c r="D24" s="23" t="str">
        <x:v>合同</x:v>
      </x:c>
    </x:row>
    <x:row r="25">
      <x:c r="A25" s="23" t="str">
        <x:v>OUR_CONTACT</x:v>
      </x:c>
      <x:c r="B25" s="23" t="str">
        <x:v>我方联系人</x:v>
      </x:c>
      <x:c r="C25" s="23" t="str">
        <x:v>夏妍</x:v>
      </x:c>
      <x:c r="D25" s="23" t="str">
        <x:v>合同</x:v>
      </x:c>
    </x:row>
    <x:row r="26">
      <x:c r="A26" s="23" t="str">
        <x:v>OUR_PHONE</x:v>
      </x:c>
      <x:c r="B26" s="23" t="str">
        <x:v>我方电话</x:v>
      </x:c>
      <x:c r="C26" s="23" t="str">
        <x:v>0755-21085026</x:v>
      </x:c>
      <x:c r="D26" s="23" t="str">
        <x:v>合同</x:v>
      </x:c>
    </x:row>
    <x:row r="27">
      <x:c r="A27" s="23" t="str">
        <x:v>OUR_ADDRESS</x:v>
      </x:c>
      <x:c r="B27" s="23" t="str">
        <x:v>我方地址</x:v>
      </x:c>
      <x:c r="C27" s="23" t="str">
        <x:v>深圳市龙华区民治街道民乐社区星河 WORLD 二期 D 栋 5 层 502 室</x:v>
      </x:c>
      <x:c r="D27" s="23" t="str">
        <x:v>合同</x:v>
      </x:c>
    </x:row>
    <x:row r="28">
      <x:c r="A28" s="23" t="str">
        <x:v>PAYMENT_REF</x:v>
      </x:c>
      <x:c r="B28" s="23" t="str">
        <x:v>银行流水</x:v>
      </x:c>
      <x:c r="C28" s="23" t="str">
        <x:v>CMB202608110001</x:v>
      </x:c>
      <x:c r="D28" s="23" t="str">
        <x:v>合同/财务</x:v>
      </x:c>
    </x:row>
    <x:row r="29">
      <x:c r="A29" s="24" t="str">
        <x:v>APPLICATION_NO</x:v>
      </x:c>
      <x:c r="B29" s="24" t="str">
        <x:v>测试申请号</x:v>
      </x:c>
      <x:c r="C29" s="24" t="str">
        <x:v>UAT-US-TM-2026-0811</x:v>
      </x:c>
      <x:c r="D29" s="24" t="str">
        <x:v>结果录入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28" hidden="0" customWidth="1"/>
    <x:col min="5" max="5" width="58" hidden="0" customWidth="1"/>
    <x:col min="6" max="6" width="38" hidden="0" customWidth="1"/>
    <x:col min="7" max="7" width="58" hidden="0" customWidth="1"/>
    <x:col min="8" max="8" width="16" hidden="0" customWidth="1"/>
    <x:col min="9" max="9" width="15" hidden="0" customWidth="1"/>
    <x:col min="10" max="10" width="24" hidden="0" customWidth="1"/>
  </x:cols>
  <x:sheetData>
    <x:row r="1" ht="32" customHeight="1">
      <x:c r="A1" s="3" t="str">
        <x:v>BEPLAN · 合同流程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12" t="str">
        <x:v>用例ID</x:v>
      </x:c>
      <x:c r="B3" s="13" t="str">
        <x:v>身份</x:v>
      </x:c>
      <x:c r="C3" s="13" t="str">
        <x:v>入口/节点</x:v>
      </x:c>
      <x:c r="D3" s="13" t="str">
        <x:v>动作</x:v>
      </x:c>
      <x:c r="E3" s="13" t="str">
        <x:v>备注/输入</x:v>
      </x:c>
      <x:c r="F3" s="13" t="str">
        <x:v>测试文件</x:v>
      </x:c>
      <x:c r="G3" s="13" t="str">
        <x:v>预期结果</x:v>
      </x:c>
      <x:c r="H3" s="13" t="str">
        <x:v>状态</x:v>
      </x:c>
      <x:c r="I3" s="13" t="str">
        <x:v>缺陷ID</x:v>
      </x:c>
      <x:c r="J3" s="14" t="str">
        <x:v>测试人/日期</x:v>
      </x:c>
    </x:row>
    <x:row r="4">
      <x:c r="A4" s="22" t="str">
        <x:v>C-01</x:v>
      </x:c>
      <x:c r="B4" s="22" t="str">
        <x:v>老板</x:v>
      </x:c>
      <x:c r="C4" s="22" t="str">
        <x:v>客户与收入/全量案件</x:v>
      </x:c>
      <x:c r="D4" s="22" t="str">
        <x:v>建立客户及新案件</x:v>
      </x:c>
      <x:c r="E4" s="22" t="str">
        <x:v>见“主数据”</x:v>
      </x:c>
      <x:c r="F4" s="22" t="str">
        <x:v>—</x:v>
      </x:c>
      <x:c r="G4" s="22" t="str">
        <x:v>客户、案件可选；生成案件编号</x:v>
      </x:c>
      <x:c r="H4" s="22" t="str">
        <x:v>未执行</x:v>
      </x:c>
      <x:c r="I4" s="22" t="str"/>
      <x:c r="J4" s="22" t="str"/>
    </x:row>
    <x:row r="5">
      <x:c r="A5" s="23" t="str">
        <x:v>C-02</x:v>
      </x:c>
      <x:c r="B5" s="23" t="str">
        <x:v>销售员</x:v>
      </x:c>
      <x:c r="C5" s="23" t="str">
        <x:v>合同履约 01/02</x:v>
      </x:c>
      <x:c r="D5" s="23" t="str">
        <x:v>填写信息并自动生成合同</x:v>
      </x:c>
      <x:c r="E5" s="23" t="str">
        <x:v>见“主数据”全部合同字段</x:v>
      </x:c>
      <x:c r="F5" s="23" t="str">
        <x:v>系统生成 PDF</x:v>
      </x:c>
      <x:c r="G5" s="23" t="str">
        <x:v>1/2完成、PDF归档、流转审核</x:v>
      </x:c>
      <x:c r="H5" s="23" t="str">
        <x:v>未执行</x:v>
      </x:c>
      <x:c r="I5" s="23" t="str"/>
      <x:c r="J5" s="23" t="str"/>
    </x:row>
    <x:row r="6">
      <x:c r="A6" s="23" t="str">
        <x:v>C-03</x:v>
      </x:c>
      <x:c r="B6" s="23" t="str">
        <x:v>合同审核</x:v>
      </x:c>
      <x:c r="C6" s="23" t="str">
        <x:v>合同履约 03</x:v>
      </x:c>
      <x:c r="D6" s="23" t="str">
        <x:v>审核合同</x:v>
      </x:c>
      <x:c r="E6" s="23" t="str">
        <x:v>双方主体、服务项目、金额、条款一致，同意盖章</x:v>
      </x:c>
      <x:c r="F6" s="23" t="str">
        <x:v>—</x:v>
      </x:c>
      <x:c r="G6" s="23" t="str">
        <x:v>审核意见、人员、时间留痕</x:v>
      </x:c>
      <x:c r="H6" s="23" t="str">
        <x:v>未执行</x:v>
      </x:c>
      <x:c r="I6" s="23" t="str"/>
      <x:c r="J6" s="23" t="str"/>
    </x:row>
    <x:row r="7">
      <x:c r="A7" s="23" t="str">
        <x:v>C-04</x:v>
      </x:c>
      <x:c r="B7" s="23" t="str">
        <x:v>合同审核</x:v>
      </x:c>
      <x:c r="C7" s="23" t="str">
        <x:v>合同履约 04</x:v>
      </x:c>
      <x:c r="D7" s="23" t="str">
        <x:v>记录打印盖章实操</x:v>
      </x:c>
      <x:c r="E7" s="23" t="str">
        <x:v>线下打印两份，骑缝章与末页章完整</x:v>
      </x:c>
      <x:c r="F7" s="23" t="str">
        <x:v>归档合同打印件</x:v>
      </x:c>
      <x:c r="G7" s="23" t="str">
        <x:v>回到销售寄回客户</x:v>
      </x:c>
      <x:c r="H7" s="23" t="str">
        <x:v>未执行</x:v>
      </x:c>
      <x:c r="I7" s="23" t="str"/>
      <x:c r="J7" s="23" t="str"/>
    </x:row>
    <x:row r="8">
      <x:c r="A8" s="23" t="str">
        <x:v>C-05</x:v>
      </x:c>
      <x:c r="B8" s="23" t="str">
        <x:v>销售员</x:v>
      </x:c>
      <x:c r="C8" s="23" t="str">
        <x:v>合同履约 05</x:v>
      </x:c>
      <x:c r="D8" s="23" t="str">
        <x:v>记录寄回客户</x:v>
      </x:c>
      <x:c r="E8" s="23" t="str">
        <x:v>顺丰 SF-UAT-20260811001，寄出2份</x:v>
      </x:c>
      <x:c r="F8" s="23" t="str">
        <x:v>—</x:v>
      </x:c>
      <x:c r="G8" s="23" t="str">
        <x:v>合同/水单并行节点开放</x:v>
      </x:c>
      <x:c r="H8" s="23" t="str">
        <x:v>未执行</x:v>
      </x:c>
      <x:c r="I8" s="23" t="str"/>
      <x:c r="J8" s="23" t="str"/>
    </x:row>
    <x:row r="9">
      <x:c r="A9" s="23" t="str">
        <x:v>C-06</x:v>
      </x:c>
      <x:c r="B9" s="23" t="str">
        <x:v>销售员</x:v>
      </x:c>
      <x:c r="C9" s="23" t="str">
        <x:v>合同履约 06</x:v>
      </x:c>
      <x:c r="D9" s="23" t="str">
        <x:v>上传盖章合同</x:v>
      </x:c>
      <x:c r="E9" s="23" t="str">
        <x:v>客户签章完整，金额38000</x:v>
      </x:c>
      <x:c r="F9" s="23" t="str">
        <x:v>02_客户盖章合同_测试.pdf</x:v>
      </x:c>
      <x:c r="G9" s="23" t="str">
        <x:v>归档合同及回款</x:v>
      </x:c>
      <x:c r="H9" s="23" t="str">
        <x:v>未执行</x:v>
      </x:c>
      <x:c r="I9" s="23" t="str"/>
      <x:c r="J9" s="23" t="str"/>
    </x:row>
    <x:row r="10">
      <x:c r="A10" s="23" t="str">
        <x:v>C-07</x:v>
      </x:c>
      <x:c r="B10" s="23" t="str">
        <x:v>销售员</x:v>
      </x:c>
      <x:c r="C10" s="23" t="str">
        <x:v>合同履约 07</x:v>
      </x:c>
      <x:c r="D10" s="23" t="str">
        <x:v>上传收款水单</x:v>
      </x:c>
      <x:c r="E10" s="23" t="str">
        <x:v>付款主体一致，金额38000</x:v>
      </x:c>
      <x:c r="F10" s="23" t="str">
        <x:v>03_收款水单_测试.pdf</x:v>
      </x:c>
      <x:c r="G10" s="23" t="str">
        <x:v>财务复核节点开放</x:v>
      </x:c>
      <x:c r="H10" s="23" t="str">
        <x:v>未执行</x:v>
      </x:c>
      <x:c r="I10" s="23" t="str"/>
      <x:c r="J10" s="23" t="str"/>
    </x:row>
    <x:row r="11">
      <x:c r="A11" s="23" t="str">
        <x:v>C-08</x:v>
      </x:c>
      <x:c r="B11" s="23" t="str">
        <x:v>财务</x:v>
      </x:c>
      <x:c r="C11" s="23" t="str">
        <x:v>合同履约 08</x:v>
      </x:c>
      <x:c r="D11" s="23" t="str">
        <x:v>复核到账</x:v>
      </x:c>
      <x:c r="E11" s="23" t="str">
        <x:v>招商银行尾号6688；流水CMB202608110001</x:v>
      </x:c>
      <x:c r="F11" s="23" t="str">
        <x:v>水单</x:v>
      </x:c>
      <x:c r="G11" s="23" t="str">
        <x:v>财务留痕、分配节点开放</x:v>
      </x:c>
      <x:c r="H11" s="23" t="str">
        <x:v>未执行</x:v>
      </x:c>
      <x:c r="I11" s="23" t="str"/>
      <x:c r="J11" s="23" t="str"/>
    </x:row>
    <x:row r="12">
      <x:c r="A12" s="23" t="str">
        <x:v>C-09</x:v>
      </x:c>
      <x:c r="B12" s="23" t="str">
        <x:v>案件分配员</x:v>
      </x:c>
      <x:c r="C12" s="23" t="str">
        <x:v>合同履约 09</x:v>
      </x:c>
      <x:c r="D12" s="23" t="str">
        <x:v>选择案件专员并流转</x:v>
      </x:c>
      <x:c r="E12" s="23" t="str">
        <x:v>主办测试专员A；协办B；职责说明</x:v>
      </x:c>
      <x:c r="F12" s="23" t="str">
        <x:v>—</x:v>
      </x:c>
      <x:c r="G12" s="23" t="str">
        <x:v>分配员占泳道；专员不占泳道/不确认</x:v>
      </x:c>
      <x:c r="H12" s="23" t="str">
        <x:v>未执行</x:v>
      </x:c>
      <x:c r="I12" s="23" t="str"/>
      <x:c r="J12" s="23" t="str"/>
    </x:row>
    <x:row r="13">
      <x:c r="A13" s="23" t="str">
        <x:v>C-10</x:v>
      </x:c>
      <x:c r="B13" s="23" t="str">
        <x:v>案件负责人</x:v>
      </x:c>
      <x:c r="C13" s="23" t="str">
        <x:v>合同履约 10</x:v>
      </x:c>
      <x:c r="D13" s="23" t="str">
        <x:v>提交办理结果</x:v>
      </x:c>
      <x:c r="E13" s="23" t="str">
        <x:v>材料齐备、完成内部复核、移交流程专员</x:v>
      </x:c>
      <x:c r="F13" s="23" t="str">
        <x:v>04_商标申请委托材料_测试.pdf</x:v>
      </x:c>
      <x:c r="G13" s="23" t="str">
        <x:v>流程专员实操开放</x:v>
      </x:c>
      <x:c r="H13" s="23" t="str">
        <x:v>未执行</x:v>
      </x:c>
      <x:c r="I13" s="23" t="str"/>
      <x:c r="J13" s="23" t="str"/>
    </x:row>
    <x:row r="14">
      <x:c r="A14" s="23" t="str">
        <x:v>C-11</x:v>
      </x:c>
      <x:c r="B14" s="23" t="str">
        <x:v>流程专员</x:v>
      </x:c>
      <x:c r="C14" s="23" t="str">
        <x:v>合同履约 11</x:v>
      </x:c>
      <x:c r="D14" s="23" t="str">
        <x:v>记录申请实操</x:v>
      </x:c>
      <x:c r="E14" s="23" t="str">
        <x:v>已在USPTO测试环境递交，等待回执</x:v>
      </x:c>
      <x:c r="F14" s="23" t="str">
        <x:v>—</x:v>
      </x:c>
      <x:c r="G14" s="23" t="str">
        <x:v>结果录入开放</x:v>
      </x:c>
      <x:c r="H14" s="23" t="str">
        <x:v>未执行</x:v>
      </x:c>
      <x:c r="I14" s="23" t="str"/>
      <x:c r="J14" s="23" t="str"/>
    </x:row>
    <x:row r="15">
      <x:c r="A15" s="23" t="str">
        <x:v>C-12A</x:v>
      </x:c>
      <x:c r="B15" s="23" t="str">
        <x:v>流程专员</x:v>
      </x:c>
      <x:c r="C15" s="23" t="str">
        <x:v>合同履约 12</x:v>
      </x:c>
      <x:c r="D15" s="23" t="str">
        <x:v>录入第一批结果</x:v>
      </x:c>
      <x:c r="E15" s="23" t="str">
        <x:v>商标受理回执；申请号UAT-US-TM-2026-0811</x:v>
      </x:c>
      <x:c r="F15" s="23" t="str">
        <x:v>05_官方受理通知书_测试.pdf</x:v>
      </x:c>
      <x:c r="G15" s="23" t="str">
        <x:v>第一批独立归档，通知节点开放</x:v>
      </x:c>
      <x:c r="H15" s="23" t="str">
        <x:v>未执行</x:v>
      </x:c>
      <x:c r="I15" s="23" t="str"/>
      <x:c r="J15" s="23" t="str"/>
    </x:row>
    <x:row r="16">
      <x:c r="A16" s="23" t="str">
        <x:v>C-12B</x:v>
      </x:c>
      <x:c r="B16" s="23" t="str">
        <x:v>流程专员</x:v>
      </x:c>
      <x:c r="C16" s="23" t="str">
        <x:v>合同履约 12</x:v>
      </x:c>
      <x:c r="D16" s="23" t="str">
        <x:v>录入第二批结果</x:v>
      </x:c>
      <x:c r="E16" s="23" t="str">
        <x:v>收到第二批专利检索结果</x:v>
      </x:c>
      <x:c r="F16" s="23" t="str">
        <x:v>04-第二批官方结果-测试件.txt</x:v>
      </x:c>
      <x:c r="G16" s="23" t="str">
        <x:v>不覆盖第一批</x:v>
      </x:c>
      <x:c r="H16" s="23" t="str">
        <x:v>未执行</x:v>
      </x:c>
      <x:c r="I16" s="23" t="str"/>
      <x:c r="J16" s="23" t="str"/>
    </x:row>
    <x:row r="17">
      <x:c r="A17" s="23" t="str">
        <x:v>C-13A</x:v>
      </x:c>
      <x:c r="B17" s="23" t="str">
        <x:v>销售员</x:v>
      </x:c>
      <x:c r="C17" s="23" t="str">
        <x:v>合同履约 13</x:v>
      </x:c>
      <x:c r="D17" s="23" t="str">
        <x:v>第一次通知客户</x:v>
      </x:c>
      <x:c r="E17" s="23" t="str">
        <x:v>邮件：已收到商标受理回执</x:v>
      </x:c>
      <x:c r="F17" s="23" t="str">
        <x:v>—</x:v>
      </x:c>
      <x:c r="G17" s="23" t="str">
        <x:v>通知记录1保留</x:v>
      </x:c>
      <x:c r="H17" s="23" t="str">
        <x:v>未执行</x:v>
      </x:c>
      <x:c r="I17" s="23" t="str"/>
      <x:c r="J17" s="23" t="str"/>
    </x:row>
    <x:row r="18">
      <x:c r="A18" s="23" t="str">
        <x:v>C-13B</x:v>
      </x:c>
      <x:c r="B18" s="23" t="str">
        <x:v>销售员</x:v>
      </x:c>
      <x:c r="C18" s="23" t="str">
        <x:v>合同履约 13</x:v>
      </x:c>
      <x:c r="D18" s="23" t="str">
        <x:v>第二次通知客户</x:v>
      </x:c>
      <x:c r="E18" s="23" t="str">
        <x:v>电话+邮件：第二批结果已发送</x:v>
      </x:c>
      <x:c r="F18" s="23" t="str">
        <x:v>05-客户通知凭证-测试件.txt</x:v>
      </x:c>
      <x:c r="G18" s="23" t="str">
        <x:v>通知记录2追加；13/13完成</x:v>
      </x:c>
      <x:c r="H18" s="23" t="str">
        <x:v>未执行</x:v>
      </x:c>
      <x:c r="I18" s="23" t="str"/>
      <x:c r="J18" s="23" t="str"/>
    </x:row>
    <x:row r="19">
      <x:c r="A19" s="24" t="str">
        <x:v>C-14</x:v>
      </x:c>
      <x:c r="B19" s="24" t="str">
        <x:v>全岗位</x:v>
      </x:c>
      <x:c r="C19" s="24" t="str">
        <x:v>合同履约/案件档案</x:v>
      </x:c>
      <x:c r="D19" s="24" t="str">
        <x:v>逐岗越权与可见性检查</x:v>
      </x:c>
      <x:c r="E19" s="24" t="str">
        <x:v>无需输入</x:v>
      </x:c>
      <x:c r="F19" s="24" t="str">
        <x:v>全部样例</x:v>
      </x:c>
      <x:c r="G19" s="24" t="str">
        <x:v>只有本岗当前节点可操作，档案按角色隔离</x:v>
      </x:c>
      <x:c r="H19" s="24" t="str">
        <x:v>未执行</x:v>
      </x:c>
      <x:c r="I19" s="24" t="str"/>
      <x:c r="J19" s="24" t="str"/>
    </x:row>
  </x:sheetData>
  <x:mergeCells>
    <x:mergeCell ref="A1:J1"/>
  </x:mergeCells>
  <x:conditionalFormatting sqref="H4:H200">
    <x:cfRule type="containsText" dxfId="0" priority="1" operator="containsText" text="通过"/>
    <x:cfRule type="containsText" dxfId="1" priority="2" operator="containsText" text="失败"/>
    <x:cfRule type="containsText" dxfId="2" priority="3" operator="containsText" text="阻塞"/>
  </x:conditionalFormatting>
  <x:dataValidations count="1">
    <x:dataValidation type="list" sqref="H4:H200">
      <x:formula1>"未执行,通过,失败,阻塞,不适用"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9" hidden="0" customWidth="1"/>
    <x:col min="3" max="3" width="18" hidden="0" customWidth="1"/>
    <x:col min="4" max="4" width="22" hidden="0" customWidth="1"/>
    <x:col min="5" max="5" width="22" hidden="0" customWidth="1"/>
    <x:col min="6" max="6" width="58" hidden="0" customWidth="1"/>
    <x:col min="7" max="7" width="55" hidden="0" customWidth="1"/>
    <x:col min="8" max="8" width="58" hidden="0" customWidth="1"/>
    <x:col min="9" max="9" width="16" hidden="0" customWidth="1"/>
    <x:col min="10" max="10" width="45" hidden="0" customWidth="1"/>
    <x:col min="11" max="11" width="15" hidden="0" customWidth="1"/>
    <x:col min="12" max="12" width="15" hidden="0" customWidth="1"/>
    <x:col min="13" max="13" width="18" hidden="0" customWidth="1"/>
  </x:cols>
  <x:sheetData>
    <x:row r="1" ht="32" customHeight="1">
      <x:c r="A1" s="3" t="str">
        <x:v>BEPLAN · 全系统用例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3">
      <x:c r="A3" s="12" t="str">
        <x:v>用例ID</x:v>
      </x:c>
      <x:c r="B3" s="13" t="str">
        <x:v>级别</x:v>
      </x:c>
      <x:c r="C3" s="13" t="str">
        <x:v>模块</x:v>
      </x:c>
      <x:c r="D3" s="13" t="str">
        <x:v>身份</x:v>
      </x:c>
      <x:c r="E3" s="13" t="str">
        <x:v>入口</x:v>
      </x:c>
      <x:c r="F3" s="13" t="str">
        <x:v>操作步骤</x:v>
      </x:c>
      <x:c r="G3" s="13" t="str">
        <x:v>具体测试数据</x:v>
      </x:c>
      <x:c r="H3" s="13" t="str">
        <x:v>预期结果</x:v>
      </x:c>
      <x:c r="I3" s="13" t="str">
        <x:v>状态</x:v>
      </x:c>
      <x:c r="J3" s="13" t="str">
        <x:v>实际结果</x:v>
      </x:c>
      <x:c r="K3" s="13" t="str">
        <x:v>缺陷ID</x:v>
      </x:c>
      <x:c r="L3" s="13" t="str">
        <x:v>测试人</x:v>
      </x:c>
      <x:c r="M3" s="14" t="str">
        <x:v>日期</x:v>
      </x:c>
    </x:row>
    <x:row r="4">
      <x:c r="A4" s="22" t="str">
        <x:v>W-01</x:v>
      </x:c>
      <x:c r="B4" s="22" t="str">
        <x:v>P0</x:v>
      </x:c>
      <x:c r="C4" s="22" t="str">
        <x:v>任务与SLA</x:v>
      </x:c>
      <x:c r="D4" s="22" t="str">
        <x:v>案件负责人</x:v>
      </x:c>
      <x:c r="E4" s="22" t="str">
        <x:v>待办中心</x:v>
      </x:c>
      <x:c r="F4" s="22" t="str">
        <x:v>查看详情→开始→完成并填写依据/下一步→15分钟撤回→重做</x:v>
      </x:c>
      <x:c r="G4" s="22" t="str">
        <x:v>依据：主体类别签字页已核对；下一步：流程专员18:00递交；撤回：版本不一致</x:v>
      </x:c>
      <x:c r="H4" s="22" t="str">
        <x:v>状态、依据、下一步、撤回原因全留痕</x:v>
      </x:c>
      <x:c r="I4" s="22" t="str">
        <x:v>未执行</x:v>
      </x:c>
      <x:c r="J4" s="22" t="str"/>
      <x:c r="K4" s="22" t="str"/>
      <x:c r="L4" s="22" t="str"/>
      <x:c r="M4" s="22" t="str"/>
    </x:row>
    <x:row r="5">
      <x:c r="A5" s="23" t="str">
        <x:v>W-02</x:v>
      </x:c>
      <x:c r="B5" s="23" t="str">
        <x:v>P0</x:v>
      </x:c>
      <x:c r="C5" s="23" t="str">
        <x:v>任务与SLA</x:v>
      </x:c>
      <x:c r="D5" s="23" t="str">
        <x:v>案件负责人+老板</x:v>
      </x:c>
      <x:c r="E5" s="23" t="str">
        <x:v>任务与SLA/风险总览</x:v>
      </x:c>
      <x:c r="F5" s="23" t="str">
        <x:v>完成即将到期节点→老板看预警停止→撤回→看预警恢复</x:v>
      </x:c>
      <x:c r="G5" s="23" t="str">
        <x:v>完成依据：官方回执已收到并核对编号</x:v>
      </x:c>
      <x:c r="H5" s="23" t="str">
        <x:v>负责人和老板同时收到预警；北京时间一致</x:v>
      </x:c>
      <x:c r="I5" s="23" t="str">
        <x:v>未执行</x:v>
      </x:c>
      <x:c r="J5" s="23" t="str"/>
      <x:c r="K5" s="23" t="str"/>
      <x:c r="L5" s="23" t="str"/>
      <x:c r="M5" s="23" t="str"/>
    </x:row>
    <x:row r="6">
      <x:c r="A6" s="23" t="str">
        <x:v>W-03</x:v>
      </x:c>
      <x:c r="B6" s="23" t="str">
        <x:v>P1</x:v>
      </x:c>
      <x:c r="C6" s="23" t="str">
        <x:v>审批</x:v>
      </x:c>
      <x:c r="D6" s="23" t="str">
        <x:v>老板</x:v>
      </x:c>
      <x:c r="E6" s="23" t="str">
        <x:v>审批中心</x:v>
      </x:c>
      <x:c r="F6" s="23" t="str">
        <x:v>查看详情→通过一条→驳回一条</x:v>
      </x:c>
      <x:c r="G6" s="23" t="str">
        <x:v>通过：授权范围内；驳回：缺官方费用拆分</x:v>
      </x:c>
      <x:c r="H6" s="23" t="str">
        <x:v>决定、意见、人员、时间留痕</x:v>
      </x:c>
      <x:c r="I6" s="23" t="str">
        <x:v>未执行</x:v>
      </x:c>
      <x:c r="J6" s="23" t="str"/>
      <x:c r="K6" s="23" t="str"/>
      <x:c r="L6" s="23" t="str"/>
      <x:c r="M6" s="23" t="str"/>
    </x:row>
    <x:row r="7">
      <x:c r="A7" s="23" t="str">
        <x:v>W-04</x:v>
      </x:c>
      <x:c r="B7" s="23" t="str">
        <x:v>P1</x:v>
      </x:c>
      <x:c r="C7" s="23" t="str">
        <x:v>通知</x:v>
      </x:c>
      <x:c r="D7" s="23" t="str">
        <x:v>案件负责人+老板</x:v>
      </x:c>
      <x:c r="E7" s="23" t="str">
        <x:v>通知中心</x:v>
      </x:c>
      <x:c r="F7" s="23" t="str">
        <x:v>逐条已读→全部已读</x:v>
      </x:c>
      <x:c r="G7" s="23" t="str">
        <x:v>—</x:v>
      </x:c>
      <x:c r="H7" s="23" t="str">
        <x:v>未读数同步减少，提醒对象正确</x:v>
      </x:c>
      <x:c r="I7" s="23" t="str">
        <x:v>未执行</x:v>
      </x:c>
      <x:c r="J7" s="23" t="str"/>
      <x:c r="K7" s="23" t="str"/>
      <x:c r="L7" s="23" t="str"/>
      <x:c r="M7" s="23" t="str"/>
    </x:row>
    <x:row r="8">
      <x:c r="A8" s="23" t="str">
        <x:v>E-01</x:v>
      </x:c>
      <x:c r="B8" s="23" t="str">
        <x:v>P1</x:v>
      </x:c>
      <x:c r="C8" s="23" t="str">
        <x:v>材料</x:v>
      </x:c>
      <x:c r="D8" s="23" t="str">
        <x:v>案件负责人</x:v>
      </x:c>
      <x:c r="E8" s="23" t="str">
        <x:v>材料中心</x:v>
      </x:c>
      <x:c r="F8" s="23" t="str">
        <x:v>创建无文件补件→创建带文件上传</x:v>
      </x:c>
      <x:c r="G8" s="23" t="str">
        <x:v>UAT-补充签字页；请补充清晰签字页</x:v>
      </x:c>
      <x:c r="H8" s="23" t="str">
        <x:v>状态分别为待补充/待核验</x:v>
      </x:c>
      <x:c r="I8" s="23" t="str">
        <x:v>未执行</x:v>
      </x:c>
      <x:c r="J8" s="23" t="str"/>
      <x:c r="K8" s="23" t="str"/>
      <x:c r="L8" s="23" t="str"/>
      <x:c r="M8" s="23" t="str"/>
    </x:row>
    <x:row r="9">
      <x:c r="A9" s="23" t="str">
        <x:v>E-02</x:v>
      </x:c>
      <x:c r="B9" s="23" t="str">
        <x:v>P0</x:v>
      </x:c>
      <x:c r="C9" s="23" t="str">
        <x:v>材料</x:v>
      </x:c>
      <x:c r="D9" s="23" t="str">
        <x:v>审核角色</x:v>
      </x:c>
      <x:c r="E9" s="23" t="str">
        <x:v>材料中心</x:v>
      </x:c>
      <x:c r="F9" s="23" t="str">
        <x:v>核验一份→驳回一份→受控下载→越权下载</x:v>
      </x:c>
      <x:c r="G9" s="23" t="str">
        <x:v>核验：主体案件一致；驳回：签字页模糊</x:v>
      </x:c>
      <x:c r="H9" s="23" t="str">
        <x:v>状态/意见留痕；越权拒绝</x:v>
      </x:c>
      <x:c r="I9" s="23" t="str">
        <x:v>未执行</x:v>
      </x:c>
      <x:c r="J9" s="23" t="str"/>
      <x:c r="K9" s="23" t="str"/>
      <x:c r="L9" s="23" t="str"/>
      <x:c r="M9" s="23" t="str"/>
    </x:row>
    <x:row r="10">
      <x:c r="A10" s="23" t="str">
        <x:v>E-03</x:v>
      </x:c>
      <x:c r="B10" s="23" t="str">
        <x:v>P0</x:v>
      </x:c>
      <x:c r="C10" s="23" t="str">
        <x:v>档案</x:v>
      </x:c>
      <x:c r="D10" s="23" t="str">
        <x:v>老板</x:v>
      </x:c>
      <x:c r="E10" s="23" t="str">
        <x:v>案件档案库</x:v>
      </x:c>
      <x:c r="F10" s="23" t="str">
        <x:v>按分类检查全部合同、回款、办理、结果、通知文件</x:v>
      </x:c>
      <x:c r="G10" s="23" t="str">
        <x:v>—</x:v>
      </x:c>
      <x:c r="H10" s="23" t="str">
        <x:v>来源、版本、上传人、时间完整；多批不覆盖</x:v>
      </x:c>
      <x:c r="I10" s="23" t="str">
        <x:v>未执行</x:v>
      </x:c>
      <x:c r="J10" s="23" t="str"/>
      <x:c r="K10" s="23" t="str"/>
      <x:c r="L10" s="23" t="str"/>
      <x:c r="M10" s="23" t="str"/>
    </x:row>
    <x:row r="11">
      <x:c r="A11" s="23" t="str">
        <x:v>F-01</x:v>
      </x:c>
      <x:c r="B11" s="23" t="str">
        <x:v>P0</x:v>
      </x:c>
      <x:c r="C11" s="23" t="str">
        <x:v>财务</x:v>
      </x:c>
      <x:c r="D11" s="23" t="str">
        <x:v>财务</x:v>
      </x:c>
      <x:c r="E11" s="23" t="str">
        <x:v>财务与保险</x:v>
      </x:c>
      <x:c r="F11" s="23" t="str">
        <x:v>新建应收草稿→出具→登记收款</x:v>
      </x:c>
      <x:c r="G11" s="23" t="str">
        <x:v>CNY 38000；到期2026-08-18 18:00；流水CMB202608110001</x:v>
      </x:c>
      <x:c r="H11" s="23" t="str">
        <x:v>草稿→已出具→已收款；详情完整</x:v>
      </x:c>
      <x:c r="I11" s="23" t="str">
        <x:v>未执行</x:v>
      </x:c>
      <x:c r="J11" s="23" t="str"/>
      <x:c r="K11" s="23" t="str"/>
      <x:c r="L11" s="23" t="str"/>
      <x:c r="M11" s="23" t="str"/>
    </x:row>
    <x:row r="12">
      <x:c r="A12" s="23" t="str">
        <x:v>F-02</x:v>
      </x:c>
      <x:c r="B12" s="23" t="str">
        <x:v>P1</x:v>
      </x:c>
      <x:c r="C12" s="23" t="str">
        <x:v>协作</x:v>
      </x:c>
      <x:c r="D12" s="23" t="str">
        <x:v>销售员</x:v>
      </x:c>
      <x:c r="E12" s="23" t="str">
        <x:v>协作网络</x:v>
      </x:c>
      <x:c r="F12" s="23" t="str">
        <x:v>选择测试案件→发布工作交接→另一身份刷新</x:v>
      </x:c>
      <x:c r="G12" s="23" t="str">
        <x:v>客户已确认范围，请今日18:00前复核材料</x:v>
      </x:c>
      <x:c r="H12" s="23" t="str">
        <x:v>动态归属案件，作者和时间正确</x:v>
      </x:c>
      <x:c r="I12" s="23" t="str">
        <x:v>未执行</x:v>
      </x:c>
      <x:c r="J12" s="23" t="str"/>
      <x:c r="K12" s="23" t="str"/>
      <x:c r="L12" s="23" t="str"/>
      <x:c r="M12" s="23" t="str"/>
    </x:row>
    <x:row r="13">
      <x:c r="A13" s="23" t="str">
        <x:v>F-03</x:v>
      </x:c>
      <x:c r="B13" s="23" t="str">
        <x:v>P1</x:v>
      </x:c>
      <x:c r="C13" s="23" t="str">
        <x:v>知识库</x:v>
      </x:c>
      <x:c r="D13" s="23" t="str">
        <x:v>老板</x:v>
      </x:c>
      <x:c r="E13" s="23" t="str">
        <x:v>知识库</x:v>
      </x:c>
      <x:c r="F13" s="23" t="str">
        <x:v>新建草稿→检索→发布→归档</x:v>
      </x:c>
      <x:c r="G13" s="23" t="str">
        <x:v>UAT 美国商标申请材料核对清单；美国,商标,UAT</x:v>
      </x:c>
      <x:c r="H13" s="23" t="str">
        <x:v>状态完整；普通角色无发布按钮</x:v>
      </x:c>
      <x:c r="I13" s="23" t="str">
        <x:v>未执行</x:v>
      </x:c>
      <x:c r="J13" s="23" t="str"/>
      <x:c r="K13" s="23" t="str"/>
      <x:c r="L13" s="23" t="str"/>
      <x:c r="M13" s="23" t="str"/>
    </x:row>
    <x:row r="14">
      <x:c r="A14" s="23" t="str">
        <x:v>F-04</x:v>
      </x:c>
      <x:c r="B14" s="23" t="str">
        <x:v>P1</x:v>
      </x:c>
      <x:c r="C14" s="23" t="str">
        <x:v>客户</x:v>
      </x:c>
      <x:c r="D14" s="23" t="str">
        <x:v>销售/运营</x:v>
      </x:c>
      <x:c r="E14" s="23" t="str">
        <x:v>客户与收入</x:v>
      </x:c>
      <x:c r="F14" s="23" t="str">
        <x:v>新建→搜索星海→关联案件</x:v>
      </x:c>
      <x:c r="G14" s="23" t="str">
        <x:v>深圳星海智造有限公司/CN/VIP/消费电子</x:v>
      </x:c>
      <x:c r="H14" s="23" t="str">
        <x:v>客户案件关联正确</x:v>
      </x:c>
      <x:c r="I14" s="23" t="str">
        <x:v>未执行</x:v>
      </x:c>
      <x:c r="J14" s="23" t="str"/>
      <x:c r="K14" s="23" t="str"/>
      <x:c r="L14" s="23" t="str"/>
      <x:c r="M14" s="23" t="str"/>
    </x:row>
    <x:row r="15">
      <x:c r="A15" s="23" t="str">
        <x:v>A-01</x:v>
      </x:c>
      <x:c r="B15" s="23" t="str">
        <x:v>P0</x:v>
      </x:c>
      <x:c r="C15" s="23" t="str">
        <x:v>权限</x:v>
      </x:c>
      <x:c r="D15" s="23" t="str">
        <x:v>老板+同事</x:v>
      </x:c>
      <x:c r="E15" s="23" t="str">
        <x:v>组织与权限</x:v>
      </x:c>
      <x:c r="F15" s="23" t="str">
        <x:v>授权→同事验证→暂停→验证拒绝→恢复→导出CSV</x:v>
      </x:c>
      <x:c r="G15" s="23" t="str">
        <x:v>同事真实邮箱</x:v>
      </x:c>
      <x:c r="H15" s="23" t="str">
        <x:v>权限即时生效；页面不白屏；CSV可打开</x:v>
      </x:c>
      <x:c r="I15" s="23" t="str">
        <x:v>未执行</x:v>
      </x:c>
      <x:c r="J15" s="23" t="str"/>
      <x:c r="K15" s="23" t="str"/>
      <x:c r="L15" s="23" t="str"/>
      <x:c r="M15" s="23" t="str"/>
    </x:row>
    <x:row r="16">
      <x:c r="A16" s="23" t="str">
        <x:v>A-02</x:v>
      </x:c>
      <x:c r="B16" s="23" t="str">
        <x:v>P0</x:v>
      </x:c>
      <x:c r="C16" s="23" t="str">
        <x:v>老板监控</x:v>
      </x:c>
      <x:c r="D16" s="23" t="str">
        <x:v>老板</x:v>
      </x:c>
      <x:c r="E16" s="23" t="str">
        <x:v>驾驶舱/案件/风险/分析</x:v>
      </x:c>
      <x:c r="F16" s="23" t="str">
        <x:v>按测试案件核对合同、负责人、SLA、财务、材料、结果、通知</x:v>
      </x:c>
      <x:c r="G16" s="23" t="str">
        <x:v>—</x:v>
      </x:c>
      <x:c r="H16" s="23" t="str">
        <x:v>明细和汇总一致；实时留痕完整</x:v>
      </x:c>
      <x:c r="I16" s="23" t="str">
        <x:v>未执行</x:v>
      </x:c>
      <x:c r="J16" s="23" t="str"/>
      <x:c r="K16" s="23" t="str"/>
      <x:c r="L16" s="23" t="str"/>
      <x:c r="M16" s="23" t="str"/>
    </x:row>
    <x:row r="17">
      <x:c r="A17" s="23" t="str">
        <x:v>A-03</x:v>
      </x:c>
      <x:c r="B17" s="23" t="str">
        <x:v>P0</x:v>
      </x:c>
      <x:c r="C17" s="23" t="str">
        <x:v>客户门户</x:v>
      </x:c>
      <x:c r="D17" s="23" t="str">
        <x:v>客户邮箱</x:v>
      </x:c>
      <x:c r="E17" s="23" t="str">
        <x:v>客户工作台</x:v>
      </x:c>
      <x:c r="F17" s="23" t="str">
        <x:v>看案件→上传材料→留言→看账单→5星反馈</x:v>
      </x:c>
      <x:c r="G17" s="23" t="str">
        <x:v>留言：已补充原始材料，请确认</x:v>
      </x:c>
      <x:c r="H17" s="23" t="str">
        <x:v>严格仅本组织数据</x:v>
      </x:c>
      <x:c r="I17" s="23" t="str">
        <x:v>未执行</x:v>
      </x:c>
      <x:c r="J17" s="23" t="str"/>
      <x:c r="K17" s="23" t="str"/>
      <x:c r="L17" s="23" t="str"/>
      <x:c r="M17" s="23" t="str"/>
    </x:row>
    <x:row r="18">
      <x:c r="A18" s="23" t="str">
        <x:v>S-01</x:v>
      </x:c>
      <x:c r="B18" s="23" t="str">
        <x:v>P0</x:v>
      </x:c>
      <x:c r="C18" s="23" t="str">
        <x:v>认证</x:v>
      </x:c>
      <x:c r="D18" s="23" t="str">
        <x:v>任意</x:v>
      </x:c>
      <x:c r="E18" s="23" t="str">
        <x:v>登录页</x:v>
      </x:c>
      <x:c r="F18" s="23" t="str">
        <x:v>登录→刷新→退出→后退→再登录</x:v>
      </x:c>
      <x:c r="G18" s="23" t="str">
        <x:v>真实可收信邮箱</x:v>
      </x:c>
      <x:c r="H18" s="23" t="str">
        <x:v>会话正常；退出后不泄露数据</x:v>
      </x:c>
      <x:c r="I18" s="23" t="str">
        <x:v>未执行</x:v>
      </x:c>
      <x:c r="J18" s="23" t="str"/>
      <x:c r="K18" s="23" t="str"/>
      <x:c r="L18" s="23" t="str"/>
      <x:c r="M18" s="23" t="str"/>
    </x:row>
    <x:row r="19">
      <x:c r="A19" s="23" t="str">
        <x:v>S-02</x:v>
      </x:c>
      <x:c r="B19" s="23" t="str">
        <x:v>P0</x:v>
      </x:c>
      <x:c r="C19" s="23" t="str">
        <x:v>异机访问</x:v>
      </x:c>
      <x:c r="D19" s="23" t="str">
        <x:v>同事</x:v>
      </x:c>
      <x:c r="E19" s="23" t="str">
        <x:v>外部电脑</x:v>
      </x:c>
      <x:c r="F19" s="23" t="str">
        <x:v>打开公开链接</x:v>
      </x:c>
      <x:c r="G19" s="23" t="str">
        <x:v>网址见总览</x:v>
      </x:c>
      <x:c r="H19" s="23" t="str">
        <x:v>网页加载；未登录不显示业务数据</x:v>
      </x:c>
      <x:c r="I19" s="23" t="str">
        <x:v>未执行</x:v>
      </x:c>
      <x:c r="J19" s="23" t="str"/>
      <x:c r="K19" s="23" t="str"/>
      <x:c r="L19" s="23" t="str"/>
      <x:c r="M19" s="23" t="str"/>
    </x:row>
    <x:row r="20">
      <x:c r="A20" s="23" t="str">
        <x:v>S-03</x:v>
      </x:c>
      <x:c r="B20" s="23" t="str">
        <x:v>P1</x:v>
      </x:c>
      <x:c r="C20" s="23" t="str">
        <x:v>导航</x:v>
      </x:c>
      <x:c r="D20" s="23" t="str">
        <x:v>老板</x:v>
      </x:c>
      <x:c r="E20" s="23" t="str">
        <x:v>全部菜单</x:v>
      </x:c>
      <x:c r="F20" s="23" t="str">
        <x:v>逐一打开菜单、通知、搜索</x:v>
      </x:c>
      <x:c r="G20" s="23" t="str">
        <x:v>—</x:v>
      </x:c>
      <x:c r="H20" s="23" t="str">
        <x:v>无白屏/死链</x:v>
      </x:c>
      <x:c r="I20" s="23" t="str">
        <x:v>未执行</x:v>
      </x:c>
      <x:c r="J20" s="23" t="str"/>
      <x:c r="K20" s="23" t="str"/>
      <x:c r="L20" s="23" t="str"/>
      <x:c r="M20" s="23" t="str"/>
    </x:row>
    <x:row r="21">
      <x:c r="A21" s="23" t="str">
        <x:v>S-04</x:v>
      </x:c>
      <x:c r="B21" s="23" t="str">
        <x:v>P1</x:v>
      </x:c>
      <x:c r="C21" s="23" t="str">
        <x:v>刷新恢复</x:v>
      </x:c>
      <x:c r="D21" s="23" t="str">
        <x:v>全岗位</x:v>
      </x:c>
      <x:c r="E21" s="23" t="str">
        <x:v>合同/权限/档案</x:v>
      </x:c>
      <x:c r="F21" s="23" t="str">
        <x:v>业务操作后F5</x:v>
      </x:c>
      <x:c r="G21" s="23" t="str">
        <x:v>—</x:v>
      </x:c>
      <x:c r="H21" s="23" t="str">
        <x:v>状态来自数据库，不回退</x:v>
      </x:c>
      <x:c r="I21" s="23" t="str">
        <x:v>未执行</x:v>
      </x:c>
      <x:c r="J21" s="23" t="str"/>
      <x:c r="K21" s="23" t="str"/>
      <x:c r="L21" s="23" t="str"/>
      <x:c r="M21" s="23" t="str"/>
    </x:row>
    <x:row r="22">
      <x:c r="A22" s="23" t="str">
        <x:v>S-05</x:v>
      </x:c>
      <x:c r="B22" s="23" t="str">
        <x:v>P0</x:v>
      </x:c>
      <x:c r="C22" s="23" t="str">
        <x:v>幂等</x:v>
      </x:c>
      <x:c r="D22" s="23" t="str">
        <x:v>全岗位</x:v>
      </x:c>
      <x:c r="E22" s="23" t="str">
        <x:v>确认层</x:v>
      </x:c>
      <x:c r="F22" s="23" t="str">
        <x:v>慢网下连续点确认</x:v>
      </x:c>
      <x:c r="G22" s="23" t="str">
        <x:v>—</x:v>
      </x:c>
      <x:c r="H22" s="23" t="str">
        <x:v>处理中禁用；无重复记录</x:v>
      </x:c>
      <x:c r="I22" s="23" t="str">
        <x:v>未执行</x:v>
      </x:c>
      <x:c r="J22" s="23" t="str"/>
      <x:c r="K22" s="23" t="str"/>
      <x:c r="L22" s="23" t="str"/>
      <x:c r="M22" s="23" t="str"/>
    </x:row>
    <x:row r="23">
      <x:c r="A23" s="23" t="str">
        <x:v>S-06</x:v>
      </x:c>
      <x:c r="B23" s="23" t="str">
        <x:v>P1</x:v>
      </x:c>
      <x:c r="C23" s="23" t="str">
        <x:v>文件</x:v>
      </x:c>
      <x:c r="D23" s="23" t="str">
        <x:v>案件负责人</x:v>
      </x:c>
      <x:c r="E23" s="23" t="str">
        <x:v>材料中心</x:v>
      </x:c>
      <x:c r="F23" s="23" t="str">
        <x:v>超50MB/错误类型/同名文件</x:v>
      </x:c>
      <x:c r="G23" s="23" t="str">
        <x:v>—</x:v>
      </x:c>
      <x:c r="H23" s="23" t="str">
        <x:v>拒绝或唯一命名，不覆盖</x:v>
      </x:c>
      <x:c r="I23" s="23" t="str">
        <x:v>未执行</x:v>
      </x:c>
      <x:c r="J23" s="23" t="str"/>
      <x:c r="K23" s="23" t="str"/>
      <x:c r="L23" s="23" t="str"/>
      <x:c r="M23" s="23" t="str"/>
    </x:row>
    <x:row r="24">
      <x:c r="A24" s="23" t="str">
        <x:v>S-07</x:v>
      </x:c>
      <x:c r="B24" s="23" t="str">
        <x:v>P0</x:v>
      </x:c>
      <x:c r="C24" s="23" t="str">
        <x:v>RLS权限</x:v>
      </x:c>
      <x:c r="D24" s="23" t="str">
        <x:v>只读岗位</x:v>
      </x:c>
      <x:c r="E24" s="23" t="str">
        <x:v>已知页面</x:v>
      </x:c>
      <x:c r="F24" s="23" t="str">
        <x:v>尝试直接写入</x:v>
      </x:c>
      <x:c r="G24" s="23" t="str">
        <x:v>—</x:v>
      </x:c>
      <x:c r="H24" s="23" t="str">
        <x:v>界面和数据库双重拒绝</x:v>
      </x:c>
      <x:c r="I24" s="23" t="str">
        <x:v>未执行</x:v>
      </x:c>
      <x:c r="J24" s="23" t="str"/>
      <x:c r="K24" s="23" t="str"/>
      <x:c r="L24" s="23" t="str"/>
      <x:c r="M24" s="23" t="str"/>
    </x:row>
    <x:row r="25">
      <x:c r="A25" s="23" t="str">
        <x:v>S-08</x:v>
      </x:c>
      <x:c r="B25" s="23" t="str">
        <x:v>P1</x:v>
      </x:c>
      <x:c r="C25" s="23" t="str">
        <x:v>时间</x:v>
      </x:c>
      <x:c r="D25" s="23" t="str">
        <x:v>老板</x:v>
      </x:c>
      <x:c r="E25" s="23" t="str">
        <x:v>合同/预警</x:v>
      </x:c>
      <x:c r="F25" s="23" t="str">
        <x:v>与本地北京时间核对</x:v>
      </x:c>
      <x:c r="G25" s="23" t="str">
        <x:v>—</x:v>
      </x:c>
      <x:c r="H25" s="23" t="str">
        <x:v>Asia/Shanghai，秒级刷新</x:v>
      </x:c>
      <x:c r="I25" s="23" t="str">
        <x:v>未执行</x:v>
      </x:c>
      <x:c r="J25" s="23" t="str"/>
      <x:c r="K25" s="23" t="str"/>
      <x:c r="L25" s="23" t="str"/>
      <x:c r="M25" s="23" t="str"/>
    </x:row>
    <x:row r="26">
      <x:c r="A26" s="23" t="str">
        <x:v>S-09</x:v>
      </x:c>
      <x:c r="B26" s="23" t="str">
        <x:v>P2</x:v>
      </x:c>
      <x:c r="C26" s="23" t="str">
        <x:v>兼容性</x:v>
      </x:c>
      <x:c r="D26" s="23" t="str">
        <x:v>任意</x:v>
      </x:c>
      <x:c r="E26" s="23" t="str">
        <x:v>Chrome/Edge</x:v>
      </x:c>
      <x:c r="F26" s="23" t="str">
        <x:v>80%/100%/125%，1920×1080</x:v>
      </x:c>
      <x:c r="G26" s="23" t="str">
        <x:v>—</x:v>
      </x:c>
      <x:c r="H26" s="23" t="str">
        <x:v>按钮、弹窗、泳道、滚动可用</x:v>
      </x:c>
      <x:c r="I26" s="23" t="str">
        <x:v>未执行</x:v>
      </x:c>
      <x:c r="J26" s="23" t="str"/>
      <x:c r="K26" s="23" t="str"/>
      <x:c r="L26" s="23" t="str"/>
      <x:c r="M26" s="23" t="str"/>
    </x:row>
    <x:row r="27">
      <x:c r="A27" s="24" t="str">
        <x:v>S-10</x:v>
      </x:c>
      <x:c r="B27" s="24" t="str">
        <x:v>P0</x:v>
      </x:c>
      <x:c r="C27" s="24" t="str">
        <x:v>权限回收</x:v>
      </x:c>
      <x:c r="D27" s="24" t="str">
        <x:v>老板</x:v>
      </x:c>
      <x:c r="E27" s="24" t="str">
        <x:v>组织与权限</x:v>
      </x:c>
      <x:c r="F27" s="24" t="str">
        <x:v>暂停同事临时老板权限</x:v>
      </x:c>
      <x:c r="G27" s="24" t="str">
        <x:v>—</x:v>
      </x:c>
      <x:c r="H27" s="24" t="str">
        <x:v>同事刷新后失去业务访问</x:v>
      </x:c>
      <x:c r="I27" s="24" t="str">
        <x:v>未执行</x:v>
      </x:c>
      <x:c r="J27" s="24" t="str"/>
      <x:c r="K27" s="24" t="str"/>
      <x:c r="L27" s="24" t="str"/>
      <x:c r="M27" s="24" t="str"/>
    </x:row>
  </x:sheetData>
  <x:mergeCells>
    <x:mergeCell ref="A1:M1"/>
  </x:mergeCells>
  <x:conditionalFormatting sqref="I4:I300">
    <x:cfRule type="containsText" dxfId="3" priority="1" operator="containsText" text="通过"/>
    <x:cfRule type="containsText" dxfId="4" priority="2" operator="containsText" text="失败"/>
    <x:cfRule type="containsText" dxfId="5" priority="3" operator="containsText" text="阻塞"/>
  </x:conditionalFormatting>
  <x:dataValidations count="1">
    <x:dataValidation type="list" sqref="I4:I300">
      <x:formula1>"未执行,通过,失败,阻塞,不适用"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25" hidden="0" customWidth="1"/>
    <x:col min="3" max="3" width="18" hidden="0" customWidth="1"/>
    <x:col min="4" max="4" width="12" hidden="0" customWidth="1"/>
    <x:col min="5" max="5" width="55" hidden="0" customWidth="1"/>
  </x:cols>
  <x:sheetData>
    <x:row r="1" ht="32" customHeight="1">
      <x:c r="A1" s="3" t="str">
        <x:v>BEPLAN · 文件清单</x:v>
      </x:c>
      <x:c r="B1" s="3"/>
      <x:c r="C1" s="3"/>
      <x:c r="D1" s="3"/>
      <x:c r="E1" s="3"/>
    </x:row>
    <x:row r="3">
      <x:c r="A3" s="12" t="str">
        <x:v>文件名</x:v>
      </x:c>
      <x:c r="B3" s="13" t="str">
        <x:v>用途</x:v>
      </x:c>
      <x:c r="C3" s="13" t="str">
        <x:v>关联用例</x:v>
      </x:c>
      <x:c r="D3" s="13" t="str">
        <x:v>格式</x:v>
      </x:c>
      <x:c r="E3" s="14" t="str">
        <x:v>检查点</x:v>
      </x:c>
    </x:row>
    <x:row r="4">
      <x:c r="A4" s="22" t="str">
        <x:v>01_客户基础信息_测试.docx</x:v>
      </x:c>
      <x:c r="B4" s="22" t="str">
        <x:v>客户信息参考</x:v>
      </x:c>
      <x:c r="C4" s="22" t="str">
        <x:v>C-02</x:v>
      </x:c>
      <x:c r="D4" s="22" t="str">
        <x:v>DOCX</x:v>
      </x:c>
      <x:c r="E4" s="22" t="str">
        <x:v>从“需要收集的信息.docx”字段整理的测试件</x:v>
      </x:c>
    </x:row>
    <x:row r="5">
      <x:c r="A5" s="23" t="str">
        <x:v>02_客户盖章合同_测试.pdf</x:v>
      </x:c>
      <x:c r="B5" s="23" t="str">
        <x:v>客户盖章合同</x:v>
      </x:c>
      <x:c r="C5" s="23" t="str">
        <x:v>C-06</x:v>
      </x:c>
      <x:c r="D5" s="23" t="str">
        <x:v>PDF</x:v>
      </x:c>
      <x:c r="E5" s="23" t="str">
        <x:v>上传后进入合同及回款</x:v>
      </x:c>
    </x:row>
    <x:row r="6">
      <x:c r="A6" s="23" t="str">
        <x:v>03_收款水单_测试.pdf</x:v>
      </x:c>
      <x:c r="B6" s="23" t="str">
        <x:v>收款水单</x:v>
      </x:c>
      <x:c r="C6" s="23" t="str">
        <x:v>C-07/F-01</x:v>
      </x:c>
      <x:c r="D6" s="23" t="str">
        <x:v>PDF</x:v>
      </x:c>
      <x:c r="E6" s="23" t="str">
        <x:v>金额38000与银行流水测试</x:v>
      </x:c>
    </x:row>
    <x:row r="7">
      <x:c r="A7" s="23" t="str">
        <x:v>04_商标申请委托材料_测试.pdf</x:v>
      </x:c>
      <x:c r="B7" s="23" t="str">
        <x:v>办理材料</x:v>
      </x:c>
      <x:c r="C7" s="23" t="str">
        <x:v>C-10/E-01</x:v>
      </x:c>
      <x:c r="D7" s="23" t="str">
        <x:v>PDF</x:v>
      </x:c>
      <x:c r="E7" s="23" t="str">
        <x:v>案件负责人提交结果</x:v>
      </x:c>
    </x:row>
    <x:row r="8">
      <x:c r="A8" s="23" t="str">
        <x:v>05_官方受理通知书_测试.pdf</x:v>
      </x:c>
      <x:c r="B8" s="23" t="str">
        <x:v>第一批官方结果</x:v>
      </x:c>
      <x:c r="C8" s="23" t="str">
        <x:v>C-12A/A-03</x:v>
      </x:c>
      <x:c r="D8" s="23" t="str">
        <x:v>PDF</x:v>
      </x:c>
      <x:c r="E8" s="23" t="str">
        <x:v>测试申请号UAT-US-TM-2026-0811</x:v>
      </x:c>
    </x:row>
    <x:row r="9">
      <x:c r="A9" s="23" t="str">
        <x:v>03-第一批官方结果-测试件.txt</x:v>
      </x:c>
      <x:c r="B9" s="23" t="str">
        <x:v>第一批文本结果</x:v>
      </x:c>
      <x:c r="C9" s="23" t="str">
        <x:v>C-12A</x:v>
      </x:c>
      <x:c r="D9" s="23" t="str">
        <x:v>TXT</x:v>
      </x:c>
      <x:c r="E9" s="23" t="str">
        <x:v>测试多格式上传</x:v>
      </x:c>
    </x:row>
    <x:row r="10">
      <x:c r="A10" s="23" t="str">
        <x:v>04-第二批官方结果-测试件.txt</x:v>
      </x:c>
      <x:c r="B10" s="23" t="str">
        <x:v>第二批结果</x:v>
      </x:c>
      <x:c r="C10" s="23" t="str">
        <x:v>C-12B</x:v>
      </x:c>
      <x:c r="D10" s="23" t="str">
        <x:v>TXT</x:v>
      </x:c>
      <x:c r="E10" s="23" t="str">
        <x:v>验证追加不覆盖</x:v>
      </x:c>
    </x:row>
    <x:row r="11">
      <x:c r="A11" s="23" t="str">
        <x:v>05-客户通知凭证-测试件.txt</x:v>
      </x:c>
      <x:c r="B11" s="23" t="str">
        <x:v>通知凭证</x:v>
      </x:c>
      <x:c r="C11" s="23" t="str">
        <x:v>C-13B</x:v>
      </x:c>
      <x:c r="D11" s="23" t="str">
        <x:v>TXT</x:v>
      </x:c>
      <x:c r="E11" s="23" t="str">
        <x:v>第二次通知客户</x:v>
      </x:c>
    </x:row>
    <x:row r="12">
      <x:c r="A12" s="23" t="str">
        <x:v>Beplan全系统人工验收测试手册_V2.0.docx</x:v>
      </x:c>
      <x:c r="B12" s="23" t="str">
        <x:v>逐步手册</x:v>
      </x:c>
      <x:c r="C12" s="23" t="str">
        <x:v>全部</x:v>
      </x:c>
      <x:c r="D12" s="23" t="str">
        <x:v>DOCX</x:v>
      </x:c>
      <x:c r="E12" s="23" t="str">
        <x:v>按顺序执行</x:v>
      </x:c>
    </x:row>
    <x:row r="13">
      <x:c r="A13" s="24" t="str">
        <x:v>Beplan全系统测试数据与用例_V2.0.xlsx</x:v>
      </x:c>
      <x:c r="B13" s="24" t="str">
        <x:v>结果记录</x:v>
      </x:c>
      <x:c r="C13" s="24" t="str">
        <x:v>全部</x:v>
      </x:c>
      <x:c r="D13" s="24" t="str">
        <x:v>XLSX</x:v>
      </x:c>
      <x:c r="E13" s="24" t="str">
        <x:v>填写状态和缺陷</x:v>
      </x:c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8" hidden="0" customWidth="1"/>
    <x:col min="8" max="8" width="18" hidden="0" customWidth="1"/>
    <x:col min="9" max="9" width="20" hidden="0" customWidth="1"/>
    <x:col min="10" max="10" width="15" hidden="0" customWidth="1"/>
    <x:col min="11" max="11" width="15" hidden="0" customWidth="1"/>
    <x:col min="12" max="12" width="18" hidden="0" customWidth="1"/>
  </x:cols>
  <x:sheetData>
    <x:row r="1" ht="32" customHeight="1">
      <x:c r="A1" s="3" t="str">
        <x:v>BEPLAN · 权限矩阵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3">
      <x:c r="A3" s="12" t="str">
        <x:v>角色</x:v>
      </x:c>
      <x:c r="B3" s="13" t="str">
        <x:v>合同销售</x:v>
      </x:c>
      <x:c r="C3" s="13" t="str">
        <x:v>合同审核</x:v>
      </x:c>
      <x:c r="D3" s="13" t="str">
        <x:v>财务</x:v>
      </x:c>
      <x:c r="E3" s="13" t="str">
        <x:v>分配</x:v>
      </x:c>
      <x:c r="F3" s="13" t="str">
        <x:v>办理</x:v>
      </x:c>
      <x:c r="G3" s="13" t="str">
        <x:v>申请/结果</x:v>
      </x:c>
      <x:c r="H3" s="13" t="str">
        <x:v>任务/SLA</x:v>
      </x:c>
      <x:c r="I3" s="13" t="str">
        <x:v>材料/档案</x:v>
      </x:c>
      <x:c r="J3" s="13" t="str">
        <x:v>审批</x:v>
      </x:c>
      <x:c r="K3" s="13" t="str">
        <x:v>权限</x:v>
      </x:c>
      <x:c r="L3" s="14" t="str">
        <x:v>客户门户</x:v>
      </x:c>
    </x:row>
    <x:row r="4">
      <x:c r="A4" s="22" t="str">
        <x:v>销售员</x:v>
      </x:c>
      <x:c r="B4" s="22" t="str">
        <x:v>操作</x:v>
      </x:c>
      <x:c r="C4" s="22" t="str">
        <x:v>只读</x:v>
      </x:c>
      <x:c r="D4" s="22" t="str">
        <x:v>只读</x:v>
      </x:c>
      <x:c r="E4" s="22" t="str">
        <x:v>只读</x:v>
      </x:c>
      <x:c r="F4" s="22" t="str">
        <x:v>只读</x:v>
      </x:c>
      <x:c r="G4" s="22" t="str">
        <x:v>只读</x:v>
      </x:c>
      <x:c r="H4" s="22" t="str">
        <x:v>本人任务</x:v>
      </x:c>
      <x:c r="I4" s="22" t="str">
        <x:v>授权文件</x:v>
      </x:c>
      <x:c r="J4" s="22" t="str">
        <x:v>只读</x:v>
      </x:c>
      <x:c r="K4" s="22" t="str">
        <x:v>无</x:v>
      </x:c>
      <x:c r="L4" s="22" t="str">
        <x:v>无</x:v>
      </x:c>
    </x:row>
    <x:row r="5">
      <x:c r="A5" s="23" t="str">
        <x:v>合同审核</x:v>
      </x:c>
      <x:c r="B5" s="23" t="str">
        <x:v>只读</x:v>
      </x:c>
      <x:c r="C5" s="23" t="str">
        <x:v>操作</x:v>
      </x:c>
      <x:c r="D5" s="23" t="str">
        <x:v>只读</x:v>
      </x:c>
      <x:c r="E5" s="23" t="str">
        <x:v>只读</x:v>
      </x:c>
      <x:c r="F5" s="23" t="str">
        <x:v>只读</x:v>
      </x:c>
      <x:c r="G5" s="23" t="str">
        <x:v>只读</x:v>
      </x:c>
      <x:c r="H5" s="23" t="str">
        <x:v>本人任务</x:v>
      </x:c>
      <x:c r="I5" s="23" t="str">
        <x:v>授权文件</x:v>
      </x:c>
      <x:c r="J5" s="23" t="str">
        <x:v>只读</x:v>
      </x:c>
      <x:c r="K5" s="23" t="str">
        <x:v>无</x:v>
      </x:c>
      <x:c r="L5" s="23" t="str">
        <x:v>无</x:v>
      </x:c>
    </x:row>
    <x:row r="6">
      <x:c r="A6" s="23" t="str">
        <x:v>财务</x:v>
      </x:c>
      <x:c r="B6" s="23" t="str">
        <x:v>只读</x:v>
      </x:c>
      <x:c r="C6" s="23" t="str">
        <x:v>只读</x:v>
      </x:c>
      <x:c r="D6" s="23" t="str">
        <x:v>操作</x:v>
      </x:c>
      <x:c r="E6" s="23" t="str">
        <x:v>只读</x:v>
      </x:c>
      <x:c r="F6" s="23" t="str">
        <x:v>只读</x:v>
      </x:c>
      <x:c r="G6" s="23" t="str">
        <x:v>只读</x:v>
      </x:c>
      <x:c r="H6" s="23" t="str">
        <x:v>本人任务</x:v>
      </x:c>
      <x:c r="I6" s="23" t="str">
        <x:v>合同/回款</x:v>
      </x:c>
      <x:c r="J6" s="23" t="str">
        <x:v>只读</x:v>
      </x:c>
      <x:c r="K6" s="23" t="str">
        <x:v>无</x:v>
      </x:c>
      <x:c r="L6" s="23" t="str">
        <x:v>无</x:v>
      </x:c>
    </x:row>
    <x:row r="7">
      <x:c r="A7" s="23" t="str">
        <x:v>案件分配员</x:v>
      </x:c>
      <x:c r="B7" s="23" t="str">
        <x:v>只读</x:v>
      </x:c>
      <x:c r="C7" s="23" t="str">
        <x:v>只读</x:v>
      </x:c>
      <x:c r="D7" s="23" t="str">
        <x:v>只读</x:v>
      </x:c>
      <x:c r="E7" s="23" t="str">
        <x:v>操作</x:v>
      </x:c>
      <x:c r="F7" s="23" t="str">
        <x:v>只读</x:v>
      </x:c>
      <x:c r="G7" s="23" t="str">
        <x:v>只读</x:v>
      </x:c>
      <x:c r="H7" s="23" t="str">
        <x:v>本人任务</x:v>
      </x:c>
      <x:c r="I7" s="23" t="str">
        <x:v>授权文件</x:v>
      </x:c>
      <x:c r="J7" s="23" t="str">
        <x:v>只读</x:v>
      </x:c>
      <x:c r="K7" s="23" t="str">
        <x:v>无</x:v>
      </x:c>
      <x:c r="L7" s="23" t="str">
        <x:v>无</x:v>
      </x:c>
    </x:row>
    <x:row r="8">
      <x:c r="A8" s="23" t="str">
        <x:v>案件负责人</x:v>
      </x:c>
      <x:c r="B8" s="23" t="str">
        <x:v>只读</x:v>
      </x:c>
      <x:c r="C8" s="23" t="str">
        <x:v>只读</x:v>
      </x:c>
      <x:c r="D8" s="23" t="str">
        <x:v>只读</x:v>
      </x:c>
      <x:c r="E8" s="23" t="str">
        <x:v>只读</x:v>
      </x:c>
      <x:c r="F8" s="23" t="str">
        <x:v>操作</x:v>
      </x:c>
      <x:c r="G8" s="23" t="str">
        <x:v>只读</x:v>
      </x:c>
      <x:c r="H8" s="23" t="str">
        <x:v>操作</x:v>
      </x:c>
      <x:c r="I8" s="23" t="str">
        <x:v>案件全部授权</x:v>
      </x:c>
      <x:c r="J8" s="23" t="str">
        <x:v>申请/只读</x:v>
      </x:c>
      <x:c r="K8" s="23" t="str">
        <x:v>无</x:v>
      </x:c>
      <x:c r="L8" s="23" t="str">
        <x:v>无</x:v>
      </x:c>
    </x:row>
    <x:row r="9">
      <x:c r="A9" s="23" t="str">
        <x:v>案件专员</x:v>
      </x:c>
      <x:c r="B9" s="23" t="str">
        <x:v>只读</x:v>
      </x:c>
      <x:c r="C9" s="23" t="str">
        <x:v>只读</x:v>
      </x:c>
      <x:c r="D9" s="23" t="str">
        <x:v>只读</x:v>
      </x:c>
      <x:c r="E9" s="23" t="str">
        <x:v>只读</x:v>
      </x:c>
      <x:c r="F9" s="23" t="str">
        <x:v>获分配查看</x:v>
      </x:c>
      <x:c r="G9" s="23" t="str">
        <x:v>只读</x:v>
      </x:c>
      <x:c r="H9" s="23" t="str">
        <x:v>本人任务</x:v>
      </x:c>
      <x:c r="I9" s="23" t="str">
        <x:v>获分配授权</x:v>
      </x:c>
      <x:c r="J9" s="23" t="str">
        <x:v>只读</x:v>
      </x:c>
      <x:c r="K9" s="23" t="str">
        <x:v>无</x:v>
      </x:c>
      <x:c r="L9" s="23" t="str">
        <x:v>无</x:v>
      </x:c>
    </x:row>
    <x:row r="10">
      <x:c r="A10" s="23" t="str">
        <x:v>流程专员</x:v>
      </x:c>
      <x:c r="B10" s="23" t="str">
        <x:v>只读</x:v>
      </x:c>
      <x:c r="C10" s="23" t="str">
        <x:v>只读</x:v>
      </x:c>
      <x:c r="D10" s="23" t="str">
        <x:v>只读</x:v>
      </x:c>
      <x:c r="E10" s="23" t="str">
        <x:v>只读</x:v>
      </x:c>
      <x:c r="F10" s="23" t="str">
        <x:v>只读</x:v>
      </x:c>
      <x:c r="G10" s="23" t="str">
        <x:v>操作</x:v>
      </x:c>
      <x:c r="H10" s="23" t="str">
        <x:v>本人任务</x:v>
      </x:c>
      <x:c r="I10" s="23" t="str">
        <x:v>申请/结果</x:v>
      </x:c>
      <x:c r="J10" s="23" t="str">
        <x:v>只读</x:v>
      </x:c>
      <x:c r="K10" s="23" t="str">
        <x:v>无</x:v>
      </x:c>
      <x:c r="L10" s="23" t="str">
        <x:v>无</x:v>
      </x:c>
    </x:row>
    <x:row r="11">
      <x:c r="A11" s="23" t="str">
        <x:v>老板/合伙人</x:v>
      </x:c>
      <x:c r="B11" s="23" t="str">
        <x:v>全局查看</x:v>
      </x:c>
      <x:c r="C11" s="23" t="str">
        <x:v>全局查看</x:v>
      </x:c>
      <x:c r="D11" s="23" t="str">
        <x:v>全局查看</x:v>
      </x:c>
      <x:c r="E11" s="23" t="str">
        <x:v>全局查看</x:v>
      </x:c>
      <x:c r="F11" s="23" t="str">
        <x:v>全局查看</x:v>
      </x:c>
      <x:c r="G11" s="23" t="str">
        <x:v>全局查看</x:v>
      </x:c>
      <x:c r="H11" s="23" t="str">
        <x:v>全局查看</x:v>
      </x:c>
      <x:c r="I11" s="23" t="str">
        <x:v>全部</x:v>
      </x:c>
      <x:c r="J11" s="23" t="str">
        <x:v>操作</x:v>
      </x:c>
      <x:c r="K11" s="23" t="str">
        <x:v>操作</x:v>
      </x:c>
      <x:c r="L11" s="23" t="str">
        <x:v>无</x:v>
      </x:c>
    </x:row>
    <x:row r="12">
      <x:c r="A12" s="24" t="str">
        <x:v>客户门户</x:v>
      </x:c>
      <x:c r="B12" s="24" t="str">
        <x:v>无</x:v>
      </x:c>
      <x:c r="C12" s="24" t="str">
        <x:v>无</x:v>
      </x:c>
      <x:c r="D12" s="24" t="str">
        <x:v>仅账单</x:v>
      </x:c>
      <x:c r="E12" s="24" t="str">
        <x:v>无</x:v>
      </x:c>
      <x:c r="F12" s="24" t="str">
        <x:v>无</x:v>
      </x:c>
      <x:c r="G12" s="24" t="str">
        <x:v>仅公开进度</x:v>
      </x:c>
      <x:c r="H12" s="24" t="str">
        <x:v>无</x:v>
      </x:c>
      <x:c r="I12" s="24" t="str">
        <x:v>本组织公开材料</x:v>
      </x:c>
      <x:c r="J12" s="24" t="str">
        <x:v>无</x:v>
      </x:c>
      <x:c r="K12" s="24" t="str">
        <x:v>无</x:v>
      </x:c>
      <x:c r="L12" s="24" t="str">
        <x:v>操作</x:v>
      </x:c>
    </x:row>
  </x:sheetData>
  <x:mergeCells>
    <x:mergeCell ref="A1:L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20" hidden="0" customWidth="1"/>
    <x:col min="4" max="4" width="18" hidden="0" customWidth="1"/>
    <x:col min="5" max="5" width="18" hidden="0" customWidth="1"/>
    <x:col min="6" max="6" width="22" hidden="0" customWidth="1"/>
    <x:col min="7" max="7" width="10" hidden="0" customWidth="1"/>
    <x:col min="8" max="8" width="55" hidden="0" customWidth="1"/>
    <x:col min="9" max="9" width="48" hidden="0" customWidth="1"/>
    <x:col min="10" max="10" width="48" hidden="0" customWidth="1"/>
    <x:col min="11" max="11" width="32" hidden="0" customWidth="1"/>
    <x:col min="12" max="12" width="16" hidden="0" customWidth="1"/>
    <x:col min="13" max="13" width="14" hidden="0" customWidth="1"/>
    <x:col min="14" max="14" width="40" hidden="0" customWidth="1"/>
  </x:cols>
  <x:sheetData>
    <x:row r="1" ht="32" customHeight="1">
      <x:c r="A1" s="3" t="str">
        <x:v>BEPLAN · 缺陷记录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3">
      <x:c r="A3" s="12" t="str">
        <x:v>缺陷ID</x:v>
      </x:c>
      <x:c r="B3" s="13" t="str">
        <x:v>用例ID</x:v>
      </x:c>
      <x:c r="C3" s="13" t="str">
        <x:v>发现时间</x:v>
      </x:c>
      <x:c r="D3" s="13" t="str">
        <x:v>身份</x:v>
      </x:c>
      <x:c r="E3" s="13" t="str">
        <x:v>模块</x:v>
      </x:c>
      <x:c r="F3" s="13" t="str">
        <x:v>浏览器/设备</x:v>
      </x:c>
      <x:c r="G3" s="13" t="str">
        <x:v>级别</x:v>
      </x:c>
      <x:c r="H3" s="13" t="str">
        <x:v>复现步骤</x:v>
      </x:c>
      <x:c r="I3" s="13" t="str">
        <x:v>实际结果</x:v>
      </x:c>
      <x:c r="J3" s="13" t="str">
        <x:v>预期结果</x:v>
      </x:c>
      <x:c r="K3" s="13" t="str">
        <x:v>截图文件</x:v>
      </x:c>
      <x:c r="L3" s="13" t="str">
        <x:v>负责人</x:v>
      </x:c>
      <x:c r="M3" s="13" t="str">
        <x:v>状态</x:v>
      </x:c>
      <x:c r="N3" s="14" t="str">
        <x:v>复测结果</x:v>
      </x:c>
    </x:row>
    <x:row r="4">
      <x:c r="A4" s="26" t="str">
        <x:v>BUG-001</x:v>
      </x:c>
      <x:c r="B4" s="26" t="str"/>
      <x:c r="C4" s="26" t="str"/>
      <x:c r="D4" s="26" t="str"/>
      <x:c r="E4" s="26" t="str"/>
      <x:c r="F4" s="26" t="str"/>
      <x:c r="G4" s="26" t="str">
        <x:v>P2</x:v>
      </x:c>
      <x:c r="H4" s="26" t="str"/>
      <x:c r="I4" s="26" t="str"/>
      <x:c r="J4" s="26" t="str"/>
      <x:c r="K4" s="26" t="str"/>
      <x:c r="L4" s="26" t="str"/>
      <x:c r="M4" s="26" t="str">
        <x:v>新建</x:v>
      </x:c>
      <x:c r="N4" s="26" t="str"/>
    </x:row>
  </x:sheetData>
  <x:mergeCells>
    <x:mergeCell ref="A1:N1"/>
  </x:mergeCells>
  <x:dataValidations count="2">
    <x:dataValidation type="list" sqref="G4:G300">
      <x:formula1>"P0,P1,P2,P3"</x:formula1>
    </x:dataValidation>
    <x:dataValidation type="list" sqref="M4:M300">
      <x:formula1>"新建,处理中,待验证,已关闭"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58" hidden="0" customWidth="1"/>
  </x:cols>
  <x:sheetData>
    <x:row r="1" ht="32" customHeight="1">
      <x:c r="A1" s="3" t="str">
        <x:v>BEPLAN · 测试总结</x:v>
      </x:c>
      <x:c r="B1" s="3"/>
      <x:c r="C1" s="3"/>
    </x:row>
    <x:row r="3">
      <x:c r="A3" s="12" t="str">
        <x:v>指标</x:v>
      </x:c>
      <x:c r="B3" s="13" t="str">
        <x:v>数值</x:v>
      </x:c>
      <x:c r="C3" s="14" t="str">
        <x:v>说明</x:v>
      </x:c>
    </x:row>
    <x:row r="4">
      <x:c r="A4" s="22" t="str">
        <x:v>合同用例总数</x:v>
      </x:c>
      <x:c r="B4" s="22" t="n">
        <x:f>COUNTA('合同流程'!A4:A200)</x:f>
        <x:v>16</x:v>
      </x:c>
      <x:c r="C4" s="22" t="str">
        <x:v>合同流程工作表记录数</x:v>
      </x:c>
    </x:row>
    <x:row r="5">
      <x:c r="A5" s="23" t="str">
        <x:v>全系统用例总数</x:v>
      </x:c>
      <x:c r="B5" s="23" t="n">
        <x:f>COUNTA('全系统用例'!A4:A200)</x:f>
        <x:v>24</x:v>
      </x:c>
      <x:c r="C5" s="23" t="str">
        <x:v>全系统用例工作表记录数</x:v>
      </x:c>
    </x:row>
    <x:row r="6">
      <x:c r="A6" s="23" t="str">
        <x:v>通过数</x:v>
      </x:c>
      <x:c r="B6" s="23" t="n">
        <x:f>COUNTIF('合同流程'!H4:H200,"通过")+COUNTIF('全系统用例'!I4:I200,"通过")</x:f>
        <x:v>0</x:v>
      </x:c>
      <x:c r="C6" s="23" t="str">
        <x:v>两张用例表状态为“通过”</x:v>
      </x:c>
    </x:row>
    <x:row r="7">
      <x:c r="A7" s="23" t="str">
        <x:v>失败数</x:v>
      </x:c>
      <x:c r="B7" s="23" t="n">
        <x:f>COUNTIF('合同流程'!H4:H200,"失败")+COUNTIF('全系统用例'!I4:I200,"失败")</x:f>
        <x:v>0</x:v>
      </x:c>
      <x:c r="C7" s="23" t="str">
        <x:v>状态为“失败”</x:v>
      </x:c>
    </x:row>
    <x:row r="8">
      <x:c r="A8" s="23" t="str">
        <x:v>阻塞数</x:v>
      </x:c>
      <x:c r="B8" s="23" t="n">
        <x:f>COUNTIF('合同流程'!H4:H200,"阻塞")+COUNTIF('全系统用例'!I4:I200,"阻塞")</x:f>
        <x:v>0</x:v>
      </x:c>
      <x:c r="C8" s="23" t="str">
        <x:v>状态为“阻塞”</x:v>
      </x:c>
    </x:row>
    <x:row r="9">
      <x:c r="A9" s="23" t="str">
        <x:v>未执行数</x:v>
      </x:c>
      <x:c r="B9" s="23" t="n">
        <x:f>COUNTIF('合同流程'!H4:H200,"未执行")+COUNTIF('全系统用例'!I4:I200,"未执行")</x:f>
        <x:v>40</x:v>
      </x:c>
      <x:c r="C9" s="23" t="str">
        <x:v>状态为“未执行”</x:v>
      </x:c>
    </x:row>
    <x:row r="10">
      <x:c r="A10" s="23" t="str">
        <x:v>已执行通过率</x:v>
      </x:c>
      <x:c r="B10" s="27" t="n">
        <x:f>IFERROR(B6/(B6+B7+B8),0)</x:f>
        <x:v>0</x:v>
      </x:c>
      <x:c r="C10" s="23" t="str">
        <x:v>通过 /（通过+失败+阻塞）</x:v>
      </x:c>
    </x:row>
    <x:row r="11">
      <x:c r="A11" s="23" t="str">
        <x:v>P0未关闭缺陷</x:v>
      </x:c>
      <x:c r="B11" s="23" t="n">
        <x:f>COUNTIFS('缺陷记录'!G4:G200,"P0",'缺陷记录'!M4:M200,"&lt;&gt;已关闭")</x:f>
        <x:v>0</x:v>
      </x:c>
      <x:c r="C11" s="23" t="str">
        <x:v>缺陷级别P0且状态不为已关闭</x:v>
      </x:c>
    </x:row>
    <x:row r="12">
      <x:c r="A12" s="24" t="str">
        <x:v>上线建议</x:v>
      </x:c>
      <x:c r="B12" s="24" t="str">
        <x:f>IF(AND(B7=0,B8=0,B11=0),"可进入候选上线","暂缓上线")</x:f>
        <x:v>可进入候选上线</x:v>
      </x:c>
      <x:c r="C12" s="24" t="str">
        <x:v>P0/P1清零且合同主流程100%通过</x:v>
      </x:c>
    </x:row>
  </x:sheetData>
  <x:mergeCells>
    <x:mergeCell ref="A1:C1"/>
  </x:mergeCells>
  <x:pageMargins left="0.7" right="0.7" top="0.75" bottom="0.75" header="0.3" footer="0.3"/>
</x:worksheet>
</file>